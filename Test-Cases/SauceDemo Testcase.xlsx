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Adding Product To Cart Remove" sheetId="2" r:id="rId6"/>
    <sheet state="visible" name="Checking Out Process" sheetId="3" r:id="rId7"/>
  </sheets>
  <definedNames>
    <definedName hidden="1" localSheetId="0" name="_xlnm._FilterDatabase">LOGIN!$A$13:$K$41</definedName>
  </definedNames>
  <calcPr/>
</workbook>
</file>

<file path=xl/sharedStrings.xml><?xml version="1.0" encoding="utf-8"?>
<sst xmlns="http://schemas.openxmlformats.org/spreadsheetml/2006/main" count="643" uniqueCount="324">
  <si>
    <t xml:space="preserve">                                                                  QA Assessment – Manual Test Cases</t>
  </si>
  <si>
    <t>Created By:  Isioma Ogbechie</t>
  </si>
  <si>
    <t>TEST STATUS</t>
  </si>
  <si>
    <t>TEST SUMMARY</t>
  </si>
  <si>
    <t>PRIORITY</t>
  </si>
  <si>
    <t>Test Type</t>
  </si>
  <si>
    <t>Tested By: Isioma Ogbechie</t>
  </si>
  <si>
    <t xml:space="preserve">Pass </t>
  </si>
  <si>
    <t>High</t>
  </si>
  <si>
    <t>Positive</t>
  </si>
  <si>
    <t>Date: 4/03/2026</t>
  </si>
  <si>
    <t xml:space="preserve">Fail </t>
  </si>
  <si>
    <t>Medium</t>
  </si>
  <si>
    <t>Negative</t>
  </si>
  <si>
    <r>
      <rPr/>
      <t xml:space="preserve">Application URL: 
</t>
    </r>
    <r>
      <rPr>
        <color rgb="FF1155CC"/>
        <u/>
      </rPr>
      <t>https://www.saucedemo.com/</t>
    </r>
  </si>
  <si>
    <t>Not Excuted (NE)</t>
  </si>
  <si>
    <t>Low</t>
  </si>
  <si>
    <t>Edge Cases(EC)</t>
  </si>
  <si>
    <t>Test Environment: 
Staging / Web</t>
  </si>
  <si>
    <t>Not Applicable (NA)</t>
  </si>
  <si>
    <t>TOTAL</t>
  </si>
  <si>
    <t>Total</t>
  </si>
  <si>
    <t>Browser: Chrome</t>
  </si>
  <si>
    <t>Test Type: 
Manual Functional Testing</t>
  </si>
  <si>
    <t>Testcase ID</t>
  </si>
  <si>
    <t>Module</t>
  </si>
  <si>
    <t>Test Scenario / Descriiption</t>
  </si>
  <si>
    <t>Flow</t>
  </si>
  <si>
    <t>Precondition</t>
  </si>
  <si>
    <t>Test Steps</t>
  </si>
  <si>
    <t>Test Data</t>
  </si>
  <si>
    <t>Expected Result</t>
  </si>
  <si>
    <t>Actual Result</t>
  </si>
  <si>
    <t>Priority</t>
  </si>
  <si>
    <t>Status</t>
  </si>
  <si>
    <t>Comment</t>
  </si>
  <si>
    <t>TC_SD_URL_001</t>
  </si>
  <si>
    <t>URL</t>
  </si>
  <si>
    <t>Verify that the Sauce Demo login page opens successfully via URL</t>
  </si>
  <si>
    <t xml:space="preserve">The URL </t>
  </si>
  <si>
    <t>1. Open browser
2. Enter URL
3. Press Enter</t>
  </si>
  <si>
    <t>1.  https://www.saucedemo.com/</t>
  </si>
  <si>
    <t>Login page should load successfully and all elements (username field, password field, login button, logo) are visible</t>
  </si>
  <si>
    <t>As Expected</t>
  </si>
  <si>
    <t>Pass</t>
  </si>
  <si>
    <t>TC_SD_LG_002</t>
  </si>
  <si>
    <t>LOGIN</t>
  </si>
  <si>
    <t>Verify that a standard user can log in successfully with valid credentials</t>
  </si>
  <si>
    <t>Url and valid login credentials</t>
  </si>
  <si>
    <t>1. Launch the saucedemo URL
2. Enter valid username 
3. Enter valid password 
4. Click Login</t>
  </si>
  <si>
    <t>1. https://www.saucedemo.com
2. username (standard_user)
3. password (secret_sauce)</t>
  </si>
  <si>
    <t>User should be logged in and  redirected successfully</t>
  </si>
  <si>
    <t>TC_SD_LG_003</t>
  </si>
  <si>
    <t>Verify that login fails when an invalid username is entered with a valid password</t>
  </si>
  <si>
    <t>User is on the Login page</t>
  </si>
  <si>
    <t>1.Enter invalid username (wrong_user)
2. Enter valid password (secret_sauce)
3. Click Login</t>
  </si>
  <si>
    <t>1.  Invalid username (Isioma_user)
2.  Valid password (secret_sauce</t>
  </si>
  <si>
    <t>An error message should be displayed showing;"Epic sadface: Username and password do not match any user in this service"</t>
  </si>
  <si>
    <t>TC_SD_LG_004</t>
  </si>
  <si>
    <t>Verify that login fails when a valid username is entered but password is incorrect</t>
  </si>
  <si>
    <t>1. Navigate to the Login page.
2. Enter valid username
3. Enter incorrect password
4. Click Login</t>
  </si>
  <si>
    <t>1. Valid username (standard_user)
2. Incorrect password (password_sauce)</t>
  </si>
  <si>
    <t>TC_SD_LG_005</t>
  </si>
  <si>
    <t>Verify that login fails when the username field is left empty and a password is provided</t>
  </si>
  <si>
    <t>1. Navigate to the Login page
2. Leave username blank
4. Enter password
5. Click Login</t>
  </si>
  <si>
    <t>1. Username
2. Password (secret_sauce)</t>
  </si>
  <si>
    <t xml:space="preserve">An error message should be displayed, showing;"Epic sadface: Username is required
</t>
  </si>
  <si>
    <t>TC_SD_LG_006</t>
  </si>
  <si>
    <t>Verify that login fails when the password field is left empty and a username is provided</t>
  </si>
  <si>
    <t>1. Navigate to the Login page
2.  Enter username 
4. Leave password field blank
5. Click Login</t>
  </si>
  <si>
    <t xml:space="preserve">1. Username (standard_user)
2. Password </t>
  </si>
  <si>
    <t xml:space="preserve">A validation message should be displayed, showing; "Epic sadface: Sorry, this user has been locked out".
</t>
  </si>
  <si>
    <t>TC_SD_LG_007</t>
  </si>
  <si>
    <t>Verify that the user cannot log in when extra spaces are added before or after the username and password</t>
  </si>
  <si>
    <t>EC</t>
  </si>
  <si>
    <t>1. Navigate to Login page
2.Enter username with leading and trailing spaces
3. Enter password with leading and trailing spaces
4. Click Login</t>
  </si>
  <si>
    <t>Username:  standard_user
Password:    secret_sauce</t>
  </si>
  <si>
    <t>An error message should be displayed, showing; "Epic sadface: Username and password do not match any user in this service"</t>
  </si>
  <si>
    <t>TC_SD_LG_008</t>
  </si>
  <si>
    <t>Verify that login fails when the username is entered in uppercase</t>
  </si>
  <si>
    <t>1. Enter username (STANDARD_USER)
2. Enter valid password (secret_sauce)
3. Click Login</t>
  </si>
  <si>
    <t>Username:  STANDARD_USER
Password:    secret_sauce</t>
  </si>
  <si>
    <t>TC_SD_LG_009</t>
  </si>
  <si>
    <t>Verify that a locked-out user cannot log in even with valid credentials</t>
  </si>
  <si>
    <t>1.Launch the browser
2. Enter URL
3. Enter locked-out username
4. Enter valid password
5. Click Login</t>
  </si>
  <si>
    <t>1. Username (lock_out_user)
2. Password (secret_sauce)</t>
  </si>
  <si>
    <t>TC_SD_LG_010</t>
  </si>
  <si>
    <t>Verify that login fails when both username and password fields are left blank</t>
  </si>
  <si>
    <t>1. Leave username empty
2. Leave password empty
3. Click Login</t>
  </si>
  <si>
    <t>An error message should be displayed, prompting the user to enter all required field</t>
  </si>
  <si>
    <t>TC_SD_LG_011</t>
  </si>
  <si>
    <t>Verify “X” icon appears only when error message is displayed</t>
  </si>
  <si>
    <t>1. Enter invalid username or password
2. Click Login to trigger error message</t>
  </si>
  <si>
    <t>1. Invalid. Username: sauce_user
2. Icon: "X"</t>
  </si>
  <si>
    <t>“X” icon appears in both username and password fields</t>
  </si>
  <si>
    <t>TC_SD_LG_012</t>
  </si>
  <si>
    <t>Verify “X” icon clears field after error message</t>
  </si>
  <si>
    <t>1. Click “X” in username field
2. Click “X” in password field</t>
  </si>
  <si>
    <t>Fields remain filled; X icon not clickable</t>
  </si>
  <si>
    <t>Fail</t>
  </si>
  <si>
    <t>The X icon appears after error message but is not interactive; user must manually delete text.</t>
  </si>
  <si>
    <r>
      <rPr/>
      <t xml:space="preserve">Application URL: 
</t>
    </r>
    <r>
      <rPr>
        <color rgb="FF1155CC"/>
        <u/>
      </rPr>
      <t>https://www.saucedemo.com/</t>
    </r>
  </si>
  <si>
    <t>TC_Cart_001</t>
  </si>
  <si>
    <t>Verify “Add to Cart” button is visible on product page</t>
  </si>
  <si>
    <t>User is logged in and on the product page</t>
  </si>
  <si>
    <t>1. Navigate to product page</t>
  </si>
  <si>
    <t>“Add to Cart” button should be visible for each product</t>
  </si>
  <si>
    <t>TC_Cart_002</t>
  </si>
  <si>
    <t>Verify “Add to Cart” button is clickable on product page</t>
  </si>
  <si>
    <t>1. Hover over a product
2. Click “Add to Cart” button</t>
  </si>
  <si>
    <t>Add to Cart button</t>
  </si>
  <si>
    <t>Add to Cart button is clickable and works as intended</t>
  </si>
  <si>
    <t>TC_Cart_003</t>
  </si>
  <si>
    <t>Add Product To Cart</t>
  </si>
  <si>
    <t>Verify that a user can add a single product to the cart</t>
  </si>
  <si>
    <t>1. Navigate to the Product page
2. Locate Sauce Labs Backpack
3. Click “Add to Cart” button</t>
  </si>
  <si>
    <t>Product: Sauce Labs Backpack</t>
  </si>
  <si>
    <t>Product is added to the cart; cart badge updates to 1</t>
  </si>
  <si>
    <t>TC_Cart_004</t>
  </si>
  <si>
    <t>Verify adding multiple different products to cart</t>
  </si>
  <si>
    <t>1. Click “Add to Cart” for multiple products</t>
  </si>
  <si>
    <t>Products: Sauce Labs Backpack, Sauce Labs Bike Light</t>
  </si>
  <si>
    <t>All selected products should be added, and cart badge should update correctly</t>
  </si>
  <si>
    <t>TC_Cart_005</t>
  </si>
  <si>
    <t>Verify cart retains items after page refresh</t>
  </si>
  <si>
    <t>User has items in cart</t>
  </si>
  <si>
    <t>1. Add products
2. Refresh the page</t>
  </si>
  <si>
    <t>Sauce Labs Onesie</t>
  </si>
  <si>
    <t>Cart still contains the added products</t>
  </si>
  <si>
    <t>TC_Cart_006</t>
  </si>
  <si>
    <t>Verify cart retains items when navigating between pages</t>
  </si>
  <si>
    <t>Product added to cart</t>
  </si>
  <si>
    <t>1. Add product
2. Open cart page
3. Click Continue Shopping</t>
  </si>
  <si>
    <t>Product: Sauce Labs Fleece Jacket</t>
  </si>
  <si>
    <t>Previously added product should remain in cart</t>
  </si>
  <si>
    <t>TC_Cart_007</t>
  </si>
  <si>
    <t>Verify system prevents adding same product multiple times</t>
  </si>
  <si>
    <t>1. Click “Add to cart” on a product
2. Attempt to add the same product again</t>
  </si>
  <si>
    <t>Product: Sauce Labs Bolt T-Shirt</t>
  </si>
  <si>
    <t>Button changes to “Remove”; product cannot be added twice</t>
  </si>
  <si>
    <t>TC_Cart_008</t>
  </si>
  <si>
    <t>Verify that the cart updates correctly after removing and re-adding a product</t>
  </si>
  <si>
    <t>1. Add product to cart
2. Remove product from cart
3. Add the same product again</t>
  </si>
  <si>
    <t>Cart badge should reflect correct quantity; product reappears in cart when added again</t>
  </si>
  <si>
    <t>TC_Cart_009</t>
  </si>
  <si>
    <t>Verify that adding all available products updates the cart correctly</t>
  </si>
  <si>
    <t>1. Click “Add to Cart” for every product</t>
  </si>
  <si>
    <t>All products on product page</t>
  </si>
  <si>
    <t>Cart badge shows total number of products; all products appear in cart</t>
  </si>
  <si>
    <t>TC_Cart_010</t>
  </si>
  <si>
    <t>Verify cart icon is clickable and navigates to cart</t>
  </si>
  <si>
    <t>User is logged in with items in cart</t>
  </si>
  <si>
    <t>1. Click cart icon</t>
  </si>
  <si>
    <t>Cart icon</t>
  </si>
  <si>
    <t>User should be able to access cart page</t>
  </si>
  <si>
    <t>TC_Cart_011</t>
  </si>
  <si>
    <t>Verify correct product details appear in cart</t>
  </si>
  <si>
    <t>1. Add product
2. Open cart page</t>
  </si>
  <si>
    <t>Product name, price, and description match product page</t>
  </si>
  <si>
    <t>TC_Cart_01 2</t>
  </si>
  <si>
    <t>Verify cart badge updates correctly</t>
  </si>
  <si>
    <t>1. Add 1 or more products</t>
  </si>
  <si>
    <t>Product; Test.allTheThings() T-Shirt (Red)</t>
  </si>
  <si>
    <t>Cart badge number should equal total items in cart</t>
  </si>
  <si>
    <t>TC_Cart_013</t>
  </si>
  <si>
    <t>Verify visual feedback when a product is added to cart</t>
  </si>
  <si>
    <t xml:space="preserve">1. Click “Add to cart” on a product
</t>
  </si>
  <si>
    <t>Button changes from “Add to cart” to “Remove” and back
Cart badge updates accordingly</t>
  </si>
  <si>
    <t>TC_Cart_014</t>
  </si>
  <si>
    <t>Verify remove button is visible only for added products</t>
  </si>
  <si>
    <t>1. Observe products not added
2. Add one product</t>
  </si>
  <si>
    <t>“Remove” appears only for added product</t>
  </si>
  <si>
    <t>TC_Cart_015</t>
  </si>
  <si>
    <t>Removing Product from Cart</t>
  </si>
  <si>
    <t>Verify that a user can remove a single product from the cart</t>
  </si>
  <si>
    <t>User is logged in and has at least one product in the cart</t>
  </si>
  <si>
    <t>1. Click “Remove” button on added product</t>
  </si>
  <si>
    <t>Product is removed from the cart; cart badge updates accordingly</t>
  </si>
  <si>
    <t>TC_Cart_016</t>
  </si>
  <si>
    <t>Verify that a user can remove multiple products from the cart</t>
  </si>
  <si>
    <t>User is logged in and has multiple products product in the cart</t>
  </si>
  <si>
    <t>1. Click “Remove” for multiple products added to cart</t>
  </si>
  <si>
    <t>All selected products are removed; cart badge updates correctly</t>
  </si>
  <si>
    <t>TC_Cart_017</t>
  </si>
  <si>
    <t>Verify that removing a product twice does not cause errors</t>
  </si>
  <si>
    <t>User is logged in and has one product in the cart</t>
  </si>
  <si>
    <t>1. Remove product from cart
2. Attempt to remove same product again</t>
  </si>
  <si>
    <t>System should not throw error; cart remains empty</t>
  </si>
  <si>
    <t>TC_Cart_018</t>
  </si>
  <si>
    <t>Verify that removing all products from the cart updates cart correctly</t>
  </si>
  <si>
    <t>User is logged in and all products are in the cart</t>
  </si>
  <si>
    <t>1. Go to cart page
2. Click “Remove” for every product</t>
  </si>
  <si>
    <t>All products</t>
  </si>
  <si>
    <t>Cart badge shows 0; cart page is empty</t>
  </si>
  <si>
    <t>TC_Cart_019</t>
  </si>
  <si>
    <t>Verify user can re-add product after removing it</t>
  </si>
  <si>
    <t>Product removed from cart</t>
  </si>
  <si>
    <t>1. Click “Add to Cart” again</t>
  </si>
  <si>
    <t>Product should be added successfully</t>
  </si>
  <si>
    <t>TC_Cart_020</t>
  </si>
  <si>
    <t>Verify user can remove product from cart page</t>
  </si>
  <si>
    <t>User is logged in and on cart page with items</t>
  </si>
  <si>
    <t>1. Add product to cart
2. Click cart icon
3. Click “Remove” button on "your cart" page</t>
  </si>
  <si>
    <t>Sauce Labs Bike Light</t>
  </si>
  <si>
    <t>Product should successfully be removed from cart</t>
  </si>
  <si>
    <t>TC_Cart_021</t>
  </si>
  <si>
    <t>Verify user can remove product from product page</t>
  </si>
  <si>
    <t>User is logged in and product is added to cart</t>
  </si>
  <si>
    <t>1. Click “Remove” button on added product on product page</t>
  </si>
  <si>
    <t>Product is removed from cart</t>
  </si>
  <si>
    <t>TC_Cart_022</t>
  </si>
  <si>
    <t>Verify cart badge disappears when cart is empty</t>
  </si>
  <si>
    <t>Cart contains items</t>
  </si>
  <si>
    <t>1. Remove all items</t>
  </si>
  <si>
    <t>Cart badge disappears</t>
  </si>
  <si>
    <t>Verify that a user cannot remove products if not logged in</t>
  </si>
  <si>
    <t>User is  logged out</t>
  </si>
  <si>
    <t>1. Navigate to Product page
2. Add product to cart
3. Allow system to be inactive for 5-10 mins
4. Try accessing cart page again
5. Attempt to click “Remove”</t>
  </si>
  <si>
    <t>System prevents action; redirects user to login page</t>
  </si>
  <si>
    <r>
      <rPr/>
      <t xml:space="preserve">Application URL: 
</t>
    </r>
    <r>
      <rPr>
        <color rgb="FF1155CC"/>
        <u/>
      </rPr>
      <t>https://www.saucedemo.com/</t>
    </r>
  </si>
  <si>
    <t>TC_CH_01</t>
  </si>
  <si>
    <t>Checking Out Process</t>
  </si>
  <si>
    <t>Verify user can navigate to checkout page</t>
  </si>
  <si>
    <t>User is logged in and at least one product is in the cart</t>
  </si>
  <si>
    <t>1. Click the cart icon
2. Click Checkout button</t>
  </si>
  <si>
    <t>Product in cart</t>
  </si>
  <si>
    <t>User should be redirected to the checkout information page</t>
  </si>
  <si>
    <t>As expected</t>
  </si>
  <si>
    <t>TC_CH_002</t>
  </si>
  <si>
    <t>Verify that a user can complete checkout with valid information</t>
  </si>
  <si>
    <t>User is on Checkout Information page</t>
  </si>
  <si>
    <t>1. Enter First Name
2. Enter Last Name
3. Enter Postal Code
4. Click Continue</t>
  </si>
  <si>
    <t>First Name: Isioma
Last Name: Ogbechie
Zip/Postal Code: 10001</t>
  </si>
  <si>
    <t>User proceeds to Checkout Overview page</t>
  </si>
  <si>
    <t>TC_CH_003</t>
  </si>
  <si>
    <t>Verify that a user can finish checkout successfully</t>
  </si>
  <si>
    <t>User is on Checkout Overview page</t>
  </si>
  <si>
    <t>1. Review order summary
2. Click Finish</t>
  </si>
  <si>
    <t>Valid order details</t>
  </si>
  <si>
    <t>Order is completed and confirmation message appears</t>
  </si>
  <si>
    <t>TC_CH_004</t>
  </si>
  <si>
    <t>Verify that checkout fails when First Name field is empty</t>
  </si>
  <si>
    <t>1. Leave First Name blank
2. Enter other fields
3. Click Continue</t>
  </si>
  <si>
    <t>First Name: 
Last Name: Ogbechie
Zip/Postal Code: 10001</t>
  </si>
  <si>
    <t>Error message should be displayed, showing; "Error: First Name is required"</t>
  </si>
  <si>
    <t>TC_CH_005</t>
  </si>
  <si>
    <t>Verify that checkout fails when Last Name field is empty</t>
  </si>
  <si>
    <t>1. Enter First Name
2. Leave Last Name blank
3. Enter Postal Code
4. Click Continue</t>
  </si>
  <si>
    <t>First Name: Isioma
Last Name: 
Postal Code: 10001</t>
  </si>
  <si>
    <t>Error message should be displayed, showing; "Error: Last Name is required"</t>
  </si>
  <si>
    <t>TC_CH_006</t>
  </si>
  <si>
    <t>Verify that checkout fails when Postal Code field is empty</t>
  </si>
  <si>
    <t>1. Enter First Name
2. Enter Last Name
3. Leave Postal Code</t>
  </si>
  <si>
    <t>First Name: Isioma
Last Name: Ogbechie
Zip/Postal Code:</t>
  </si>
  <si>
    <t>Error message should be displayed, showing; "Error: Postal Code is required"</t>
  </si>
  <si>
    <t>TC_CH_007</t>
  </si>
  <si>
    <t>Verify the behavior when alphabets are entered in the Postal Code field</t>
  </si>
  <si>
    <t>1. Enter valid First Name and Last Name
2. Enter alphabetic Postal Code
3. Click Continue</t>
  </si>
  <si>
    <t>First Name: Isioma
Last Name: Ogbechie
Postal Code: ABCDE</t>
  </si>
  <si>
    <t>System should either allow proceeding or handle input consistently</t>
  </si>
  <si>
    <t>TC_CH_008</t>
  </si>
  <si>
    <t>Verify that First Name field does not accept numeric input</t>
  </si>
  <si>
    <t>1. Enter First Name with numbers
2. Enter valid Last Name and Postal Code
3. Click Continue</t>
  </si>
  <si>
    <t>First Name: 1234
Last Name: Ogbechie
Postal Code: 10001</t>
  </si>
  <si>
    <t>System should reject numbers and show error: "First Name must contain only letters"</t>
  </si>
  <si>
    <t>System accepts numeric input</t>
  </si>
  <si>
    <t>The system currently allows numbers in the First Name/Last Name field, but ideally these fields should only accept letters. This is a validation issue</t>
  </si>
  <si>
    <t>TC_CH_009</t>
  </si>
  <si>
    <t>Verify that Last Name field does not accept numeric input</t>
  </si>
  <si>
    <t>1. Enter valid First Name and Postal Code
2. Enter  Last Name  with numbers 
3. Click Continue</t>
  </si>
  <si>
    <t>First Name: Isioma
Last Name: 1234
Postal Code: 10001</t>
  </si>
  <si>
    <t>System should reject numbers and show error prompting the user to enter valid Last Name</t>
  </si>
  <si>
    <t>TC_CH_010</t>
  </si>
  <si>
    <t>Verify product details are displayed in checkout overview</t>
  </si>
  <si>
    <t>User is on checkout overview page</t>
  </si>
  <si>
    <t>1. View product list</t>
  </si>
  <si>
    <t xml:space="preserve">Sauce Labs Backpack
carry.allTheThings() with the sleek, streamlined Sly Pack that melds uncompromising style with unequaled laptop and tablet protection.
$29.99
</t>
  </si>
  <si>
    <t>Product name, price, and quantity should be displayed</t>
  </si>
  <si>
    <t>TC_CH_011</t>
  </si>
  <si>
    <t>Verify order confirmation message is displayed</t>
  </si>
  <si>
    <t>Checkout process completed</t>
  </si>
  <si>
    <t>1. Observe confirmation page</t>
  </si>
  <si>
    <t>Order confirmation message</t>
  </si>
  <si>
    <t>“Thank you for your order” message is displayed</t>
  </si>
  <si>
    <t>TC_CH_012</t>
  </si>
  <si>
    <t>Verify that checkout with an empty cart is not allowed</t>
  </si>
  <si>
    <t>User is logged in, but cart is empty</t>
  </si>
  <si>
    <t>1. Click cart icon
2. Click Checkout</t>
  </si>
  <si>
    <t>N/A</t>
  </si>
  <si>
    <t>System prevents checkout; user cannot proceed and stays on cart page</t>
  </si>
  <si>
    <t>TC_CH_013</t>
  </si>
  <si>
    <t>Verify that the payment information is displayed correctly on Checkout Overview</t>
  </si>
  <si>
    <t>User has added products to cart and is on Checkout Overview page</t>
  </si>
  <si>
    <t>1. Navigate to Checkout Overview page</t>
  </si>
  <si>
    <t>Payment method: SauceCard #31337</t>
  </si>
  <si>
    <t>Payment information section should show: SauceCard #31337</t>
  </si>
  <si>
    <t>TC_CH_014</t>
  </si>
  <si>
    <t>Verify that the shipping information is displayed correctly</t>
  </si>
  <si>
    <t>Shipping method: Free Pony Express Delivery!</t>
  </si>
  <si>
    <t>Shipping information section shows: Free Pony Express Delivery!</t>
  </si>
  <si>
    <t>TC_CH_015</t>
  </si>
  <si>
    <t>Verify that item total price matches sum of selected products</t>
  </si>
  <si>
    <t>User has added multiple products to cart and is on Checkout Overview page</t>
  </si>
  <si>
    <t>1. Calculate expected item total
2. Compare with displayed item total</t>
  </si>
  <si>
    <t>Products and their prices</t>
  </si>
  <si>
    <t>Displayed item total should equal sum of product prices</t>
  </si>
  <si>
    <t>TC_CH_016</t>
  </si>
  <si>
    <t>Verify maximum character limit for First Name field</t>
  </si>
  <si>
    <t>1. Enter more than 100 characters in First Name field
2. Enter valid Last Name and Postal Code
3. Click Continue</t>
  </si>
  <si>
    <t>"First Name:  100+ character
Last Name: Ogbechie
Zip/Postal Code: 10001</t>
  </si>
  <si>
    <t>System should prevent entry or shows error: "First Name cannot exceed X characters"</t>
  </si>
  <si>
    <t>System accepts long input without restriction</t>
  </si>
  <si>
    <t>Currently, the First Name field has no maximum character limit. Ideally, it should be limited (e.g., 100 characters) to prevent UI or database issues.</t>
  </si>
  <si>
    <t>TC_CH_017</t>
  </si>
  <si>
    <t>Verify maximum character limit for Last Name field</t>
  </si>
  <si>
    <t>1. Enter more than 100 characters in Last Name field
2. Enter valid First Name and Postal Code
3. Click Continue</t>
  </si>
  <si>
    <t>First Name: Isioma
Last Name: 100+ characters
Zip/Postal Code: 10001</t>
  </si>
  <si>
    <t>System should prevent entry or shows error: "Last  Name cannot exceed X characters"</t>
  </si>
  <si>
    <t>TC_CH_018</t>
  </si>
  <si>
    <t>Verify maximum character limit for Postal Code field</t>
  </si>
  <si>
    <t>1. Enter very long postal code
2. Click Continue</t>
  </si>
  <si>
    <t>"First Name:  Isioma
Last Name: Ogbechie
Zip/Postal Code: 100+ characters</t>
  </si>
  <si>
    <t>System should prevent entry or shows error: "Postal Code cannot exceed X characters"</t>
  </si>
  <si>
    <t>System accepts long postal code without restriction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</si>
</sst>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20.0"/>
      <color theme="1"/>
      <name val="Arial"/>
      <scheme val="minor"/>
    </font>
    <font/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u/>
      <color rgb="FF0000FF"/>
    </font>
    <font>
      <b/>
      <sz val="11.0"/>
      <color theme="1"/>
      <name val="Arial"/>
    </font>
    <font>
      <b/>
      <sz val="11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readingOrder="0" vertical="bottom"/>
    </xf>
    <xf borderId="7" fillId="0" fontId="4" numFmtId="0" xfId="0" applyBorder="1" applyFont="1"/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8" fillId="0" fontId="3" numFmtId="0" xfId="0" applyAlignment="1" applyBorder="1" applyFont="1">
      <alignment horizontal="center" vertical="bottom"/>
    </xf>
    <xf borderId="9" fillId="0" fontId="2" numFmtId="0" xfId="0" applyBorder="1" applyFont="1"/>
    <xf borderId="10" fillId="0" fontId="2" numFmtId="0" xfId="0" applyBorder="1" applyFont="1"/>
    <xf borderId="8" fillId="0" fontId="6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  <xf borderId="7" fillId="2" fontId="3" numFmtId="0" xfId="0" applyAlignment="1" applyBorder="1" applyFill="1" applyFont="1">
      <alignment vertical="bottom"/>
    </xf>
    <xf borderId="7" fillId="0" fontId="3" numFmtId="0" xfId="0" applyAlignment="1" applyBorder="1" applyFont="1">
      <alignment horizontal="right" vertical="bottom"/>
    </xf>
    <xf borderId="7" fillId="3" fontId="3" numFmtId="0" xfId="0" applyAlignment="1" applyBorder="1" applyFill="1" applyFont="1">
      <alignment vertical="bottom"/>
    </xf>
    <xf borderId="7" fillId="0" fontId="6" numFmtId="0" xfId="0" applyAlignment="1" applyBorder="1" applyFont="1">
      <alignment readingOrder="0"/>
    </xf>
    <xf borderId="7" fillId="4" fontId="3" numFmtId="0" xfId="0" applyAlignment="1" applyBorder="1" applyFill="1" applyFont="1">
      <alignment vertical="bottom"/>
    </xf>
    <xf borderId="7" fillId="0" fontId="7" numFmtId="0" xfId="0" applyAlignment="1" applyBorder="1" applyFont="1">
      <alignment readingOrder="0"/>
    </xf>
    <xf borderId="7" fillId="5" fontId="3" numFmtId="0" xfId="0" applyAlignment="1" applyBorder="1" applyFill="1" applyFont="1">
      <alignment vertical="bottom"/>
    </xf>
    <xf borderId="7" fillId="6" fontId="3" numFmtId="0" xfId="0" applyAlignment="1" applyBorder="1" applyFill="1" applyFont="1">
      <alignment vertical="bottom"/>
    </xf>
    <xf borderId="7" fillId="7" fontId="3" numFmtId="0" xfId="0" applyAlignment="1" applyBorder="1" applyFill="1" applyFont="1">
      <alignment vertical="bottom"/>
    </xf>
    <xf borderId="7" fillId="0" fontId="5" numFmtId="0" xfId="0" applyAlignment="1" applyBorder="1" applyFont="1">
      <alignment readingOrder="0" vertical="bottom"/>
    </xf>
    <xf borderId="7" fillId="0" fontId="4" numFmtId="0" xfId="0" applyAlignment="1" applyBorder="1" applyFont="1">
      <alignment readingOrder="0"/>
    </xf>
    <xf borderId="7" fillId="8" fontId="8" numFmtId="0" xfId="0" applyAlignment="1" applyBorder="1" applyFill="1" applyFont="1">
      <alignment vertical="bottom"/>
    </xf>
    <xf borderId="7" fillId="8" fontId="8" numFmtId="0" xfId="0" applyAlignment="1" applyBorder="1" applyFont="1">
      <alignment readingOrder="0" vertical="bottom"/>
    </xf>
    <xf borderId="7" fillId="7" fontId="4" numFmtId="0" xfId="0" applyAlignment="1" applyBorder="1" applyFont="1">
      <alignment readingOrder="0"/>
    </xf>
    <xf borderId="7" fillId="0" fontId="9" numFmtId="0" xfId="0" applyAlignment="1" applyBorder="1" applyFont="1">
      <alignment readingOrder="0" textRotation="0" vertical="center"/>
    </xf>
    <xf borderId="7" fillId="0" fontId="4" numFmtId="0" xfId="0" applyAlignment="1" applyBorder="1" applyFont="1">
      <alignment readingOrder="0" shrinkToFit="0" wrapText="1"/>
    </xf>
    <xf borderId="7" fillId="0" fontId="4" numFmtId="0" xfId="0" applyAlignment="1" applyBorder="1" applyFont="1">
      <alignment horizontal="left" readingOrder="0"/>
    </xf>
    <xf borderId="11" fillId="0" fontId="9" numFmtId="0" xfId="0" applyAlignment="1" applyBorder="1" applyFont="1">
      <alignment readingOrder="0" textRotation="45" vertical="center"/>
    </xf>
    <xf borderId="12" fillId="0" fontId="2" numFmtId="0" xfId="0" applyBorder="1" applyFont="1"/>
    <xf borderId="0" fillId="0" fontId="4" numFmtId="0" xfId="0" applyAlignment="1" applyFont="1">
      <alignment readingOrder="0" shrinkToFit="0" wrapText="1"/>
    </xf>
    <xf borderId="13" fillId="0" fontId="2" numFmtId="0" xfId="0" applyBorder="1" applyFont="1"/>
    <xf borderId="7" fillId="0" fontId="6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shrinkToFit="0" wrapText="1"/>
    </xf>
    <xf borderId="7" fillId="8" fontId="8" numFmtId="0" xfId="0" applyAlignment="1" applyBorder="1" applyFont="1">
      <alignment shrinkToFit="0" vertical="bottom" wrapText="1"/>
    </xf>
    <xf borderId="7" fillId="8" fontId="8" numFmtId="0" xfId="0" applyAlignment="1" applyBorder="1" applyFont="1">
      <alignment readingOrder="0" shrinkToFit="0" vertical="bottom" wrapText="1"/>
    </xf>
    <xf borderId="11" fillId="0" fontId="9" numFmtId="0" xfId="0" applyAlignment="1" applyBorder="1" applyFont="1">
      <alignment horizontal="center" readingOrder="0" textRotation="135" vertical="center"/>
    </xf>
    <xf borderId="7" fillId="0" fontId="5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7" fillId="0" fontId="9" numFmtId="0" xfId="0" applyAlignment="1" applyBorder="1" applyFont="1">
      <alignment horizontal="center" readingOrder="0" textRotation="45" vertical="center"/>
    </xf>
    <xf borderId="11" fillId="0" fontId="9" numFmtId="0" xfId="0" applyAlignment="1" applyBorder="1" applyFont="1">
      <alignment horizontal="center" readingOrder="0" textRotation="45" vertical="center"/>
    </xf>
    <xf borderId="7" fillId="0" fontId="9" numFmtId="0" xfId="0" applyAlignment="1" applyBorder="1" applyFont="1">
      <alignment horizontal="center" readingOrder="0" textRotation="135" vertical="center"/>
    </xf>
    <xf borderId="7" fillId="5" fontId="3" numFmtId="0" xfId="0" applyAlignment="1" applyBorder="1" applyFont="1">
      <alignment shrinkToFit="0" vertical="bottom" wrapText="1"/>
    </xf>
    <xf borderId="7" fillId="0" fontId="3" numFmtId="0" xfId="0" applyAlignment="1" applyBorder="1" applyFont="1">
      <alignment horizontal="right" shrinkToFit="0" vertical="bottom" wrapText="1"/>
    </xf>
    <xf borderId="7" fillId="0" fontId="5" numFmtId="0" xfId="0" applyAlignment="1" applyBorder="1" applyFont="1">
      <alignment shrinkToFit="0" vertical="bottom" wrapText="1"/>
    </xf>
    <xf borderId="7" fillId="6" fontId="3" numFmtId="0" xfId="0" applyAlignment="1" applyBorder="1" applyFont="1">
      <alignment shrinkToFit="0" vertical="bottom" wrapText="1"/>
    </xf>
    <xf borderId="7" fillId="7" fontId="3" numFmtId="0" xfId="0" applyAlignment="1" applyBorder="1" applyFont="1">
      <alignment shrinkToFit="0" vertical="bottom" wrapText="1"/>
    </xf>
    <xf borderId="7" fillId="0" fontId="3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wrapText="1"/>
    </xf>
    <xf borderId="7" fillId="0" fontId="5" numFmtId="0" xfId="0" applyAlignment="1" applyBorder="1" applyFont="1">
      <alignment readingOrder="0" shrinkToFit="0" vertical="bottom" wrapText="1"/>
    </xf>
    <xf borderId="7" fillId="0" fontId="5" numFmtId="0" xfId="0" applyAlignment="1" applyBorder="1" applyFon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3" max="3" width="31.88"/>
    <col customWidth="1" min="4" max="4" width="16.0"/>
    <col customWidth="1" min="5" max="5" width="15.38"/>
    <col customWidth="1" min="6" max="6" width="18.38"/>
    <col customWidth="1" min="7" max="7" width="26.25"/>
    <col customWidth="1" min="8" max="8" width="19.88"/>
    <col customWidth="1" min="9" max="9" width="22.75"/>
    <col customWidth="1" min="10" max="10" width="19.88"/>
  </cols>
  <sheetData>
    <row r="1" ht="1.5" customHeight="1"/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>
      <c r="A4" s="7" t="s">
        <v>1</v>
      </c>
      <c r="B4" s="8"/>
      <c r="C4" s="9" t="s">
        <v>2</v>
      </c>
      <c r="D4" s="9" t="s">
        <v>3</v>
      </c>
      <c r="E4" s="10"/>
      <c r="F4" s="11" t="s">
        <v>4</v>
      </c>
      <c r="G4" s="12"/>
      <c r="H4" s="13"/>
      <c r="I4" s="14" t="s">
        <v>5</v>
      </c>
      <c r="J4" s="13"/>
      <c r="K4" s="15"/>
      <c r="L4" s="8"/>
      <c r="M4" s="8"/>
      <c r="N4" s="8"/>
      <c r="O4" s="8"/>
      <c r="P4" s="8"/>
      <c r="Q4" s="8"/>
      <c r="R4" s="8"/>
      <c r="S4" s="8"/>
      <c r="T4" s="8"/>
    </row>
    <row r="5">
      <c r="A5" s="7" t="s">
        <v>6</v>
      </c>
      <c r="B5" s="8"/>
      <c r="C5" s="16" t="s">
        <v>7</v>
      </c>
      <c r="D5" s="17">
        <f>COUNTIF(K13:K30, "Pass")</f>
        <v>11</v>
      </c>
      <c r="E5" s="10"/>
      <c r="F5" s="18" t="s">
        <v>8</v>
      </c>
      <c r="G5" s="17">
        <f>COUNTIF(J12:J30, "High")</f>
        <v>11</v>
      </c>
      <c r="H5" s="17"/>
      <c r="I5" s="19" t="s">
        <v>9</v>
      </c>
      <c r="J5" s="17">
        <f>COUNTIF(D14:D39, "Positive")</f>
        <v>2</v>
      </c>
      <c r="K5" s="17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</v>
      </c>
      <c r="B6" s="8"/>
      <c r="C6" s="18" t="s">
        <v>11</v>
      </c>
      <c r="D6" s="17">
        <f>COUNTIF(K13:K30, "Fail")</f>
        <v>1</v>
      </c>
      <c r="E6" s="10"/>
      <c r="F6" s="20" t="s">
        <v>12</v>
      </c>
      <c r="G6" s="17">
        <f>COUNTIF(J13:J30, "Medium")</f>
        <v>1</v>
      </c>
      <c r="H6" s="17"/>
      <c r="I6" s="19" t="s">
        <v>13</v>
      </c>
      <c r="J6" s="17">
        <f>COUNTIF(D14:D40, "Negative")</f>
        <v>7</v>
      </c>
      <c r="K6" s="17"/>
      <c r="L6" s="8"/>
      <c r="M6" s="8"/>
      <c r="N6" s="8"/>
      <c r="O6" s="8"/>
      <c r="P6" s="8"/>
      <c r="Q6" s="8"/>
      <c r="R6" s="8"/>
      <c r="S6" s="8"/>
      <c r="T6" s="8"/>
    </row>
    <row r="7">
      <c r="A7" s="21" t="s">
        <v>14</v>
      </c>
      <c r="B7" s="8"/>
      <c r="C7" s="22" t="s">
        <v>15</v>
      </c>
      <c r="D7" s="17">
        <f>COUNTIF(K13:K30, "NE")</f>
        <v>0</v>
      </c>
      <c r="E7" s="10"/>
      <c r="F7" s="23" t="s">
        <v>16</v>
      </c>
      <c r="G7" s="17">
        <f>COUNTIF(J13:J30, "Low")</f>
        <v>0</v>
      </c>
      <c r="H7" s="17"/>
      <c r="I7" s="19" t="s">
        <v>17</v>
      </c>
      <c r="J7" s="17">
        <f>COUNTIF(D15:D41, "EC")</f>
        <v>3</v>
      </c>
      <c r="K7" s="17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18</v>
      </c>
      <c r="B8" s="8"/>
      <c r="C8" s="24" t="s">
        <v>19</v>
      </c>
      <c r="D8" s="17">
        <f>COUNTIF(K13:K30, "NA")</f>
        <v>0</v>
      </c>
      <c r="E8" s="10"/>
      <c r="F8" s="9" t="s">
        <v>20</v>
      </c>
      <c r="G8" s="17">
        <f>SUM(G5:G7)</f>
        <v>12</v>
      </c>
      <c r="H8" s="17"/>
      <c r="I8" s="25" t="s">
        <v>21</v>
      </c>
      <c r="J8" s="17">
        <f>SUM(J4:J7)</f>
        <v>12</v>
      </c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26" t="s">
        <v>22</v>
      </c>
      <c r="B9" s="8"/>
      <c r="C9" s="9" t="s">
        <v>20</v>
      </c>
      <c r="D9" s="17">
        <f>SUM(D5:D8)</f>
        <v>12</v>
      </c>
      <c r="E9" s="17"/>
      <c r="F9" s="9"/>
      <c r="G9" s="9"/>
      <c r="H9" s="9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9" t="s">
        <v>23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27" t="s">
        <v>24</v>
      </c>
      <c r="B13" s="27" t="s">
        <v>25</v>
      </c>
      <c r="C13" s="28" t="s">
        <v>26</v>
      </c>
      <c r="D13" s="28" t="s">
        <v>27</v>
      </c>
      <c r="E13" s="27" t="s">
        <v>28</v>
      </c>
      <c r="F13" s="27" t="s">
        <v>29</v>
      </c>
      <c r="G13" s="28" t="s">
        <v>30</v>
      </c>
      <c r="H13" s="27" t="s">
        <v>31</v>
      </c>
      <c r="I13" s="27" t="s">
        <v>32</v>
      </c>
      <c r="J13" s="27" t="s">
        <v>33</v>
      </c>
      <c r="K13" s="27" t="s">
        <v>34</v>
      </c>
      <c r="L13" s="29" t="s">
        <v>35</v>
      </c>
      <c r="M13" s="8"/>
      <c r="N13" s="8"/>
      <c r="O13" s="8"/>
      <c r="P13" s="8"/>
      <c r="Q13" s="8"/>
      <c r="R13" s="8"/>
      <c r="S13" s="8"/>
      <c r="T13" s="8"/>
    </row>
    <row r="14">
      <c r="A14" s="26" t="s">
        <v>36</v>
      </c>
      <c r="B14" s="30" t="s">
        <v>37</v>
      </c>
      <c r="C14" s="31" t="s">
        <v>38</v>
      </c>
      <c r="D14" s="31" t="s">
        <v>9</v>
      </c>
      <c r="E14" s="26" t="s">
        <v>39</v>
      </c>
      <c r="F14" s="31" t="s">
        <v>40</v>
      </c>
      <c r="G14" s="31" t="s">
        <v>41</v>
      </c>
      <c r="H14" s="31" t="s">
        <v>42</v>
      </c>
      <c r="I14" s="26" t="s">
        <v>43</v>
      </c>
      <c r="J14" s="32" t="s">
        <v>8</v>
      </c>
      <c r="K14" s="26" t="s">
        <v>44</v>
      </c>
      <c r="L14" s="8"/>
      <c r="M14" s="8"/>
      <c r="N14" s="8"/>
      <c r="O14" s="8"/>
      <c r="P14" s="8"/>
      <c r="Q14" s="8"/>
      <c r="R14" s="8"/>
      <c r="S14" s="8"/>
      <c r="T14" s="8"/>
    </row>
    <row r="15">
      <c r="A15" s="26" t="s">
        <v>45</v>
      </c>
      <c r="B15" s="33" t="s">
        <v>46</v>
      </c>
      <c r="C15" s="31" t="s">
        <v>47</v>
      </c>
      <c r="D15" s="31" t="s">
        <v>9</v>
      </c>
      <c r="E15" s="31" t="s">
        <v>48</v>
      </c>
      <c r="F15" s="31" t="s">
        <v>49</v>
      </c>
      <c r="G15" s="31" t="s">
        <v>50</v>
      </c>
      <c r="H15" s="31" t="s">
        <v>51</v>
      </c>
      <c r="I15" s="26" t="s">
        <v>43</v>
      </c>
      <c r="J15" s="32" t="s">
        <v>8</v>
      </c>
      <c r="K15" s="26" t="s">
        <v>44</v>
      </c>
      <c r="L15" s="8"/>
      <c r="M15" s="8"/>
      <c r="N15" s="8"/>
      <c r="O15" s="8"/>
      <c r="P15" s="8"/>
      <c r="Q15" s="8"/>
      <c r="R15" s="8"/>
      <c r="S15" s="8"/>
      <c r="T15" s="8"/>
    </row>
    <row r="16">
      <c r="A16" s="26" t="s">
        <v>52</v>
      </c>
      <c r="B16" s="34"/>
      <c r="C16" s="35" t="s">
        <v>53</v>
      </c>
      <c r="D16" s="31" t="s">
        <v>13</v>
      </c>
      <c r="E16" s="31" t="s">
        <v>54</v>
      </c>
      <c r="F16" s="31" t="s">
        <v>55</v>
      </c>
      <c r="G16" s="31" t="s">
        <v>56</v>
      </c>
      <c r="H16" s="31" t="s">
        <v>57</v>
      </c>
      <c r="I16" s="26" t="s">
        <v>43</v>
      </c>
      <c r="J16" s="32" t="s">
        <v>8</v>
      </c>
      <c r="K16" s="26" t="s">
        <v>44</v>
      </c>
      <c r="L16" s="8"/>
      <c r="M16" s="8"/>
      <c r="N16" s="8"/>
      <c r="O16" s="8"/>
      <c r="P16" s="8"/>
      <c r="Q16" s="8"/>
      <c r="R16" s="8"/>
      <c r="S16" s="8"/>
      <c r="T16" s="8"/>
    </row>
    <row r="17">
      <c r="A17" s="26" t="s">
        <v>58</v>
      </c>
      <c r="B17" s="34"/>
      <c r="C17" s="31" t="s">
        <v>59</v>
      </c>
      <c r="D17" s="31" t="s">
        <v>13</v>
      </c>
      <c r="E17" s="31" t="s">
        <v>54</v>
      </c>
      <c r="F17" s="31" t="s">
        <v>60</v>
      </c>
      <c r="G17" s="31" t="s">
        <v>61</v>
      </c>
      <c r="H17" s="31" t="s">
        <v>57</v>
      </c>
      <c r="I17" s="26" t="s">
        <v>43</v>
      </c>
      <c r="J17" s="32" t="s">
        <v>8</v>
      </c>
      <c r="K17" s="26" t="s">
        <v>44</v>
      </c>
      <c r="L17" s="8"/>
      <c r="M17" s="8"/>
      <c r="N17" s="8"/>
      <c r="O17" s="8"/>
      <c r="P17" s="8"/>
      <c r="Q17" s="8"/>
      <c r="R17" s="8"/>
      <c r="S17" s="8"/>
      <c r="T17" s="8"/>
    </row>
    <row r="18">
      <c r="A18" s="26" t="s">
        <v>62</v>
      </c>
      <c r="B18" s="34"/>
      <c r="C18" s="31" t="s">
        <v>63</v>
      </c>
      <c r="D18" s="31" t="s">
        <v>13</v>
      </c>
      <c r="E18" s="31" t="s">
        <v>54</v>
      </c>
      <c r="F18" s="31" t="s">
        <v>64</v>
      </c>
      <c r="G18" s="31" t="s">
        <v>65</v>
      </c>
      <c r="H18" s="31" t="s">
        <v>66</v>
      </c>
      <c r="I18" s="26" t="s">
        <v>43</v>
      </c>
      <c r="J18" s="32" t="s">
        <v>8</v>
      </c>
      <c r="K18" s="26" t="s">
        <v>44</v>
      </c>
      <c r="L18" s="8"/>
      <c r="M18" s="8"/>
      <c r="N18" s="8"/>
      <c r="O18" s="8"/>
      <c r="P18" s="8"/>
      <c r="Q18" s="8"/>
      <c r="R18" s="8"/>
      <c r="S18" s="8"/>
      <c r="T18" s="8"/>
    </row>
    <row r="19">
      <c r="A19" s="26" t="s">
        <v>67</v>
      </c>
      <c r="B19" s="34"/>
      <c r="C19" s="31" t="s">
        <v>68</v>
      </c>
      <c r="D19" s="31" t="s">
        <v>13</v>
      </c>
      <c r="E19" s="31" t="s">
        <v>54</v>
      </c>
      <c r="F19" s="31" t="s">
        <v>69</v>
      </c>
      <c r="G19" s="26" t="s">
        <v>70</v>
      </c>
      <c r="H19" s="31" t="s">
        <v>71</v>
      </c>
      <c r="I19" s="26" t="s">
        <v>43</v>
      </c>
      <c r="J19" s="32" t="s">
        <v>8</v>
      </c>
      <c r="K19" s="26" t="s">
        <v>44</v>
      </c>
      <c r="L19" s="8"/>
      <c r="M19" s="8"/>
      <c r="N19" s="8"/>
      <c r="O19" s="8"/>
      <c r="P19" s="8"/>
      <c r="Q19" s="8"/>
      <c r="R19" s="8"/>
      <c r="S19" s="8"/>
      <c r="T19" s="8"/>
    </row>
    <row r="20">
      <c r="A20" s="26" t="s">
        <v>72</v>
      </c>
      <c r="B20" s="34"/>
      <c r="C20" s="35" t="s">
        <v>73</v>
      </c>
      <c r="D20" s="31" t="s">
        <v>74</v>
      </c>
      <c r="E20" s="31" t="s">
        <v>54</v>
      </c>
      <c r="F20" s="31" t="s">
        <v>75</v>
      </c>
      <c r="G20" s="26" t="s">
        <v>76</v>
      </c>
      <c r="H20" s="31" t="s">
        <v>77</v>
      </c>
      <c r="I20" s="26" t="s">
        <v>43</v>
      </c>
      <c r="J20" s="32" t="s">
        <v>8</v>
      </c>
      <c r="K20" s="26" t="s">
        <v>44</v>
      </c>
      <c r="L20" s="8"/>
      <c r="M20" s="8"/>
      <c r="N20" s="8"/>
      <c r="O20" s="8"/>
      <c r="P20" s="8"/>
      <c r="Q20" s="8"/>
      <c r="R20" s="8"/>
      <c r="S20" s="8"/>
      <c r="T20" s="8"/>
    </row>
    <row r="21">
      <c r="A21" s="26" t="s">
        <v>78</v>
      </c>
      <c r="B21" s="34"/>
      <c r="C21" s="35" t="s">
        <v>79</v>
      </c>
      <c r="D21" s="31" t="s">
        <v>13</v>
      </c>
      <c r="E21" s="31" t="s">
        <v>54</v>
      </c>
      <c r="F21" s="31" t="s">
        <v>80</v>
      </c>
      <c r="G21" s="26" t="s">
        <v>81</v>
      </c>
      <c r="H21" s="31" t="s">
        <v>77</v>
      </c>
      <c r="I21" s="26" t="s">
        <v>43</v>
      </c>
      <c r="J21" s="32" t="s">
        <v>8</v>
      </c>
      <c r="K21" s="26" t="s">
        <v>44</v>
      </c>
      <c r="L21" s="8"/>
      <c r="M21" s="8"/>
      <c r="N21" s="8"/>
      <c r="O21" s="8"/>
      <c r="P21" s="8"/>
      <c r="Q21" s="8"/>
      <c r="R21" s="8"/>
      <c r="S21" s="8"/>
      <c r="T21" s="8"/>
    </row>
    <row r="22">
      <c r="A22" s="26" t="s">
        <v>82</v>
      </c>
      <c r="B22" s="34"/>
      <c r="C22" s="31" t="s">
        <v>83</v>
      </c>
      <c r="D22" s="31" t="s">
        <v>13</v>
      </c>
      <c r="E22" s="31" t="s">
        <v>54</v>
      </c>
      <c r="F22" s="31" t="s">
        <v>84</v>
      </c>
      <c r="G22" s="26" t="s">
        <v>85</v>
      </c>
      <c r="H22" s="31" t="s">
        <v>71</v>
      </c>
      <c r="I22" s="26" t="s">
        <v>43</v>
      </c>
      <c r="J22" s="32" t="s">
        <v>8</v>
      </c>
      <c r="K22" s="26" t="s">
        <v>44</v>
      </c>
      <c r="L22" s="8"/>
      <c r="M22" s="8"/>
      <c r="N22" s="8"/>
      <c r="O22" s="8"/>
      <c r="P22" s="8"/>
      <c r="Q22" s="8"/>
      <c r="R22" s="8"/>
      <c r="S22" s="8"/>
      <c r="T22" s="8"/>
    </row>
    <row r="23">
      <c r="A23" s="26" t="s">
        <v>86</v>
      </c>
      <c r="B23" s="34"/>
      <c r="C23" s="31" t="s">
        <v>87</v>
      </c>
      <c r="D23" s="31" t="s">
        <v>74</v>
      </c>
      <c r="E23" s="31" t="s">
        <v>54</v>
      </c>
      <c r="F23" s="31" t="s">
        <v>88</v>
      </c>
      <c r="G23" s="8"/>
      <c r="H23" s="31" t="s">
        <v>89</v>
      </c>
      <c r="I23" s="26" t="s">
        <v>43</v>
      </c>
      <c r="J23" s="32" t="s">
        <v>8</v>
      </c>
      <c r="K23" s="26" t="s">
        <v>44</v>
      </c>
      <c r="L23" s="8"/>
      <c r="M23" s="8"/>
      <c r="N23" s="8"/>
      <c r="O23" s="8"/>
      <c r="P23" s="8"/>
      <c r="Q23" s="8"/>
      <c r="R23" s="8"/>
      <c r="S23" s="8"/>
      <c r="T23" s="8"/>
    </row>
    <row r="24">
      <c r="A24" s="26" t="s">
        <v>90</v>
      </c>
      <c r="B24" s="34"/>
      <c r="C24" s="31" t="s">
        <v>91</v>
      </c>
      <c r="D24" s="31" t="s">
        <v>74</v>
      </c>
      <c r="E24" s="31" t="s">
        <v>54</v>
      </c>
      <c r="F24" s="31" t="s">
        <v>92</v>
      </c>
      <c r="G24" s="26" t="s">
        <v>93</v>
      </c>
      <c r="H24" s="31" t="s">
        <v>94</v>
      </c>
      <c r="I24" s="26" t="s">
        <v>43</v>
      </c>
      <c r="J24" s="32" t="s">
        <v>8</v>
      </c>
      <c r="K24" s="26" t="s">
        <v>44</v>
      </c>
      <c r="L24" s="8"/>
      <c r="M24" s="8"/>
      <c r="N24" s="8"/>
      <c r="O24" s="8"/>
      <c r="P24" s="8"/>
      <c r="Q24" s="8"/>
      <c r="R24" s="8"/>
      <c r="S24" s="8"/>
      <c r="T24" s="8"/>
    </row>
    <row r="25">
      <c r="A25" s="26" t="s">
        <v>95</v>
      </c>
      <c r="B25" s="34"/>
      <c r="C25" s="35" t="s">
        <v>96</v>
      </c>
      <c r="D25" s="31" t="s">
        <v>13</v>
      </c>
      <c r="E25" s="31" t="s">
        <v>54</v>
      </c>
      <c r="F25" s="31" t="s">
        <v>97</v>
      </c>
      <c r="G25" s="26" t="s">
        <v>93</v>
      </c>
      <c r="H25" s="31" t="s">
        <v>97</v>
      </c>
      <c r="I25" s="31" t="s">
        <v>98</v>
      </c>
      <c r="J25" s="32" t="s">
        <v>12</v>
      </c>
      <c r="K25" s="26" t="s">
        <v>99</v>
      </c>
      <c r="L25" s="31" t="s">
        <v>100</v>
      </c>
      <c r="M25" s="8"/>
      <c r="N25" s="8"/>
      <c r="O25" s="8"/>
      <c r="P25" s="8"/>
      <c r="Q25" s="8"/>
      <c r="R25" s="8"/>
      <c r="S25" s="8"/>
      <c r="T25" s="8"/>
    </row>
    <row r="26">
      <c r="A26" s="8"/>
      <c r="B26" s="34"/>
      <c r="C26" s="8"/>
      <c r="D26" s="31"/>
      <c r="E26" s="31"/>
      <c r="F26" s="31"/>
      <c r="G26" s="26"/>
      <c r="H26" s="31"/>
      <c r="I26" s="26"/>
      <c r="J26" s="32"/>
      <c r="K26" s="26"/>
      <c r="L26" s="8"/>
      <c r="M26" s="8"/>
      <c r="N26" s="8"/>
      <c r="O26" s="8"/>
      <c r="P26" s="8"/>
      <c r="Q26" s="8"/>
      <c r="R26" s="8"/>
      <c r="S26" s="8"/>
      <c r="T26" s="8"/>
    </row>
    <row r="27">
      <c r="A27" s="8"/>
      <c r="B27" s="34"/>
      <c r="C27" s="8"/>
      <c r="D27" s="31"/>
      <c r="E27" s="8"/>
      <c r="F27" s="8"/>
      <c r="G27" s="8"/>
      <c r="H27" s="8"/>
      <c r="I27" s="8"/>
      <c r="J27" s="32"/>
      <c r="K27" s="26"/>
      <c r="L27" s="8"/>
      <c r="M27" s="8"/>
      <c r="N27" s="8"/>
      <c r="O27" s="8"/>
      <c r="P27" s="8"/>
      <c r="Q27" s="8"/>
      <c r="R27" s="8"/>
      <c r="S27" s="8"/>
      <c r="T27" s="8"/>
    </row>
    <row r="28">
      <c r="A28" s="8"/>
      <c r="B28" s="34"/>
      <c r="C28" s="8"/>
      <c r="D28" s="31"/>
      <c r="E28" s="8"/>
      <c r="F28" s="8"/>
      <c r="G28" s="8"/>
      <c r="H28" s="8"/>
      <c r="I28" s="8"/>
      <c r="J28" s="32"/>
      <c r="K28" s="26"/>
      <c r="L28" s="8"/>
      <c r="M28" s="8"/>
      <c r="N28" s="8"/>
      <c r="O28" s="8"/>
      <c r="P28" s="8"/>
      <c r="Q28" s="8"/>
      <c r="R28" s="8"/>
      <c r="S28" s="8"/>
      <c r="T28" s="8"/>
    </row>
    <row r="29">
      <c r="A29" s="8"/>
      <c r="B29" s="34"/>
      <c r="C29" s="8"/>
      <c r="D29" s="31"/>
      <c r="E29" s="8"/>
      <c r="F29" s="8"/>
      <c r="G29" s="8"/>
      <c r="H29" s="8"/>
      <c r="I29" s="8"/>
      <c r="J29" s="32"/>
      <c r="K29" s="26"/>
      <c r="L29" s="8"/>
      <c r="M29" s="8"/>
      <c r="N29" s="8"/>
      <c r="O29" s="8"/>
      <c r="P29" s="8"/>
      <c r="Q29" s="8"/>
      <c r="R29" s="8"/>
      <c r="S29" s="8"/>
      <c r="T29" s="8"/>
    </row>
    <row r="30">
      <c r="A30" s="8"/>
      <c r="B30" s="34"/>
      <c r="C30" s="8"/>
      <c r="D30" s="31"/>
      <c r="E30" s="8"/>
      <c r="F30" s="8"/>
      <c r="G30" s="8"/>
      <c r="H30" s="8"/>
      <c r="I30" s="8"/>
      <c r="J30" s="32"/>
      <c r="K30" s="26"/>
      <c r="L30" s="8"/>
      <c r="M30" s="8"/>
      <c r="N30" s="8"/>
      <c r="O30" s="8"/>
      <c r="P30" s="8"/>
      <c r="Q30" s="8"/>
      <c r="R30" s="8"/>
      <c r="S30" s="8"/>
      <c r="T30" s="8"/>
    </row>
    <row r="31">
      <c r="A31" s="8"/>
      <c r="B31" s="34"/>
      <c r="C31" s="8"/>
      <c r="D31" s="31"/>
      <c r="E31" s="8"/>
      <c r="F31" s="8"/>
      <c r="G31" s="8"/>
      <c r="H31" s="8"/>
      <c r="I31" s="8"/>
      <c r="J31" s="32"/>
      <c r="K31" s="26"/>
      <c r="L31" s="8"/>
      <c r="M31" s="8"/>
      <c r="N31" s="8"/>
      <c r="O31" s="8"/>
      <c r="P31" s="8"/>
      <c r="Q31" s="8"/>
      <c r="R31" s="8"/>
      <c r="S31" s="8"/>
      <c r="T31" s="8"/>
    </row>
    <row r="32">
      <c r="A32" s="8"/>
      <c r="B32" s="34"/>
      <c r="C32" s="8"/>
      <c r="D32" s="31"/>
      <c r="E32" s="8"/>
      <c r="F32" s="8"/>
      <c r="G32" s="8"/>
      <c r="H32" s="8"/>
      <c r="I32" s="8"/>
      <c r="J32" s="32"/>
      <c r="K32" s="26"/>
      <c r="L32" s="8"/>
      <c r="M32" s="8"/>
      <c r="N32" s="8"/>
      <c r="O32" s="8"/>
      <c r="P32" s="8"/>
      <c r="Q32" s="8"/>
      <c r="R32" s="8"/>
      <c r="S32" s="8"/>
      <c r="T32" s="8"/>
    </row>
    <row r="33">
      <c r="A33" s="8"/>
      <c r="B33" s="34"/>
      <c r="C33" s="8"/>
      <c r="D33" s="31"/>
      <c r="E33" s="8"/>
      <c r="F33" s="8"/>
      <c r="G33" s="8"/>
      <c r="H33" s="8"/>
      <c r="I33" s="8"/>
      <c r="J33" s="32"/>
      <c r="K33" s="26"/>
      <c r="L33" s="8"/>
      <c r="M33" s="8"/>
      <c r="N33" s="8"/>
      <c r="O33" s="8"/>
      <c r="P33" s="8"/>
      <c r="Q33" s="8"/>
      <c r="R33" s="8"/>
      <c r="S33" s="8"/>
      <c r="T33" s="8"/>
    </row>
    <row r="34">
      <c r="A34" s="8"/>
      <c r="B34" s="36"/>
      <c r="C34" s="8"/>
      <c r="D34" s="31"/>
      <c r="E34" s="8"/>
      <c r="F34" s="8"/>
      <c r="G34" s="8"/>
      <c r="H34" s="8"/>
      <c r="I34" s="8"/>
      <c r="J34" s="32"/>
      <c r="K34" s="26"/>
      <c r="L34" s="8"/>
      <c r="M34" s="8"/>
      <c r="N34" s="8"/>
      <c r="O34" s="8"/>
      <c r="P34" s="8"/>
      <c r="Q34" s="8"/>
      <c r="R34" s="8"/>
      <c r="S34" s="8"/>
      <c r="T34" s="8"/>
    </row>
    <row r="35">
      <c r="A35" s="8"/>
      <c r="B35" s="8"/>
      <c r="C35" s="8"/>
      <c r="D35" s="31"/>
      <c r="E35" s="8"/>
      <c r="F35" s="8"/>
      <c r="G35" s="8"/>
      <c r="H35" s="8"/>
      <c r="I35" s="8"/>
      <c r="J35" s="32"/>
      <c r="K35" s="26"/>
      <c r="L35" s="8"/>
      <c r="M35" s="8"/>
      <c r="N35" s="8"/>
      <c r="O35" s="8"/>
      <c r="P35" s="8"/>
      <c r="Q35" s="8"/>
      <c r="R35" s="8"/>
      <c r="S35" s="8"/>
      <c r="T35" s="8"/>
    </row>
    <row r="36">
      <c r="A36" s="8"/>
      <c r="B36" s="8"/>
      <c r="C36" s="8"/>
      <c r="D36" s="31"/>
      <c r="E36" s="8"/>
      <c r="F36" s="8"/>
      <c r="G36" s="8"/>
      <c r="H36" s="8"/>
      <c r="I36" s="8"/>
      <c r="J36" s="32"/>
      <c r="K36" s="26"/>
      <c r="L36" s="8"/>
      <c r="M36" s="8"/>
      <c r="N36" s="8"/>
      <c r="O36" s="8"/>
      <c r="P36" s="8"/>
      <c r="Q36" s="8"/>
      <c r="R36" s="8"/>
      <c r="S36" s="8"/>
      <c r="T36" s="8"/>
    </row>
    <row r="37">
      <c r="A37" s="8"/>
      <c r="B37" s="8"/>
      <c r="C37" s="8"/>
      <c r="D37" s="31"/>
      <c r="E37" s="8"/>
      <c r="F37" s="8"/>
      <c r="G37" s="8"/>
      <c r="H37" s="8"/>
      <c r="I37" s="8"/>
      <c r="J37" s="32"/>
      <c r="K37" s="26"/>
      <c r="L37" s="8"/>
      <c r="M37" s="8"/>
      <c r="N37" s="8"/>
      <c r="O37" s="8"/>
      <c r="P37" s="8"/>
      <c r="Q37" s="8"/>
      <c r="R37" s="8"/>
      <c r="S37" s="8"/>
      <c r="T37" s="8"/>
    </row>
    <row r="38">
      <c r="A38" s="8"/>
      <c r="B38" s="8"/>
      <c r="C38" s="8"/>
      <c r="D38" s="31"/>
      <c r="E38" s="8"/>
      <c r="F38" s="8"/>
      <c r="G38" s="8"/>
      <c r="H38" s="8"/>
      <c r="I38" s="8"/>
      <c r="J38" s="32"/>
      <c r="K38" s="26"/>
      <c r="L38" s="8"/>
      <c r="M38" s="8"/>
      <c r="N38" s="8"/>
      <c r="O38" s="8"/>
      <c r="P38" s="8"/>
      <c r="Q38" s="8"/>
      <c r="R38" s="8"/>
      <c r="S38" s="8"/>
      <c r="T38" s="8"/>
    </row>
    <row r="39">
      <c r="A39" s="8"/>
      <c r="B39" s="8"/>
      <c r="C39" s="8"/>
      <c r="D39" s="31"/>
      <c r="E39" s="8"/>
      <c r="F39" s="8"/>
      <c r="G39" s="8"/>
      <c r="H39" s="8"/>
      <c r="I39" s="8"/>
      <c r="J39" s="32"/>
      <c r="K39" s="26"/>
      <c r="L39" s="8"/>
      <c r="M39" s="8"/>
      <c r="N39" s="8"/>
      <c r="O39" s="8"/>
      <c r="P39" s="8"/>
      <c r="Q39" s="8"/>
      <c r="R39" s="8"/>
      <c r="S39" s="8"/>
      <c r="T39" s="8"/>
    </row>
    <row r="40">
      <c r="A40" s="8"/>
      <c r="B40" s="8"/>
      <c r="C40" s="8"/>
      <c r="D40" s="31"/>
      <c r="E40" s="8"/>
      <c r="F40" s="8"/>
      <c r="G40" s="8"/>
      <c r="H40" s="8"/>
      <c r="I40" s="8"/>
      <c r="J40" s="32"/>
      <c r="K40" s="26"/>
      <c r="L40" s="8"/>
      <c r="M40" s="8"/>
      <c r="N40" s="8"/>
      <c r="O40" s="8"/>
      <c r="P40" s="8"/>
      <c r="Q40" s="8"/>
      <c r="R40" s="8"/>
      <c r="S40" s="8"/>
      <c r="T40" s="8"/>
    </row>
    <row r="41">
      <c r="A41" s="8"/>
      <c r="B41" s="8"/>
      <c r="C41" s="8"/>
      <c r="D41" s="31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</sheetData>
  <autoFilter ref="$A$13:$K$41"/>
  <mergeCells count="4">
    <mergeCell ref="A2:T3"/>
    <mergeCell ref="F4:H4"/>
    <mergeCell ref="I4:J4"/>
    <mergeCell ref="B15:B34"/>
  </mergeCells>
  <conditionalFormatting sqref="K14:K40">
    <cfRule type="cellIs" dxfId="0" priority="1" operator="equal">
      <formula>"Pass"</formula>
    </cfRule>
  </conditionalFormatting>
  <conditionalFormatting sqref="K14:K40">
    <cfRule type="cellIs" dxfId="1" priority="2" operator="equal">
      <formula>"Fail"</formula>
    </cfRule>
  </conditionalFormatting>
  <conditionalFormatting sqref="K14:K40">
    <cfRule type="cellIs" dxfId="2" priority="3" operator="equal">
      <formula>"NE"</formula>
    </cfRule>
  </conditionalFormatting>
  <conditionalFormatting sqref="K14:K40">
    <cfRule type="cellIs" dxfId="3" priority="4" operator="equal">
      <formula>"NA"</formula>
    </cfRule>
  </conditionalFormatting>
  <conditionalFormatting sqref="K16:K40">
    <cfRule type="notContainsBlanks" dxfId="4" priority="5">
      <formula>LEN(TRIM(K16))&gt;0</formula>
    </cfRule>
  </conditionalFormatting>
  <dataValidations>
    <dataValidation type="list" allowBlank="1" showErrorMessage="1" sqref="D14:D41">
      <formula1>"Positive,Negative,EC"</formula1>
    </dataValidation>
    <dataValidation type="list" allowBlank="1" showErrorMessage="1" sqref="J14:J40">
      <formula1>"High,Medium,Low"</formula1>
    </dataValidation>
    <dataValidation type="list" allowBlank="1" showErrorMessage="1" sqref="K14:K40">
      <formula1>"Pass,Fail,NE,Na"</formula1>
    </dataValidation>
  </dataValidations>
  <hyperlinks>
    <hyperlink r:id="rId1" ref="A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23.63"/>
    <col customWidth="1" min="5" max="5" width="32.75"/>
    <col customWidth="1" min="6" max="6" width="22.5"/>
    <col customWidth="1" min="7" max="7" width="26.88"/>
    <col customWidth="1" min="8" max="8" width="20.25"/>
    <col customWidth="1" min="9" max="9" width="24.13"/>
  </cols>
  <sheetData>
    <row r="1" ht="1.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7" t="s">
        <v>1</v>
      </c>
      <c r="B2" s="8"/>
      <c r="C2" s="9" t="s">
        <v>2</v>
      </c>
      <c r="D2" s="9" t="s">
        <v>3</v>
      </c>
      <c r="E2" s="10"/>
      <c r="F2" s="11" t="s">
        <v>4</v>
      </c>
      <c r="G2" s="12"/>
      <c r="H2" s="13"/>
      <c r="I2" s="14" t="s">
        <v>5</v>
      </c>
      <c r="J2" s="13"/>
      <c r="K2" s="3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7" t="s">
        <v>6</v>
      </c>
      <c r="B3" s="8"/>
      <c r="C3" s="16" t="s">
        <v>7</v>
      </c>
      <c r="D3" s="17">
        <f>COUNTIF(K12:K34, "Pass")</f>
        <v>23</v>
      </c>
      <c r="E3" s="10"/>
      <c r="F3" s="18" t="s">
        <v>8</v>
      </c>
      <c r="G3" s="17">
        <f>COUNTIF(J12:J34, "High")</f>
        <v>13</v>
      </c>
      <c r="H3" s="17"/>
      <c r="I3" s="19" t="s">
        <v>9</v>
      </c>
      <c r="J3" s="17">
        <f>COUNTIF(D12:D37, "Positive")</f>
        <v>18</v>
      </c>
      <c r="K3" s="1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 t="s">
        <v>10</v>
      </c>
      <c r="B4" s="8"/>
      <c r="C4" s="18" t="s">
        <v>11</v>
      </c>
      <c r="D4" s="17">
        <f>COUNTIF(K12:K34, "Fail")</f>
        <v>0</v>
      </c>
      <c r="E4" s="10"/>
      <c r="F4" s="20" t="s">
        <v>12</v>
      </c>
      <c r="G4" s="17">
        <f>COUNTIF(J12:J34, "Medium")</f>
        <v>10</v>
      </c>
      <c r="H4" s="17"/>
      <c r="I4" s="19" t="s">
        <v>13</v>
      </c>
      <c r="J4" s="17">
        <f>COUNTIF(D12:D38, "Negative")</f>
        <v>2</v>
      </c>
      <c r="K4" s="1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101</v>
      </c>
      <c r="B5" s="8"/>
      <c r="C5" s="22" t="s">
        <v>15</v>
      </c>
      <c r="D5" s="17">
        <f>COUNTIF(K12:K34, "NE")</f>
        <v>0</v>
      </c>
      <c r="E5" s="10"/>
      <c r="F5" s="23" t="s">
        <v>16</v>
      </c>
      <c r="G5" s="17">
        <f>COUNTIF(J12:J34, "Low")</f>
        <v>0</v>
      </c>
      <c r="H5" s="17"/>
      <c r="I5" s="19" t="s">
        <v>17</v>
      </c>
      <c r="J5" s="17">
        <f>COUNTIF(D13:D39, "EC")</f>
        <v>3</v>
      </c>
      <c r="K5" s="1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18</v>
      </c>
      <c r="B6" s="8"/>
      <c r="C6" s="24" t="s">
        <v>19</v>
      </c>
      <c r="D6" s="17">
        <f>COUNTIF(K12:K34, "NA")</f>
        <v>0</v>
      </c>
      <c r="E6" s="10"/>
      <c r="F6" s="9" t="s">
        <v>20</v>
      </c>
      <c r="G6" s="17">
        <f>SUM(G3:G5)</f>
        <v>23</v>
      </c>
      <c r="H6" s="17"/>
      <c r="I6" s="25" t="s">
        <v>21</v>
      </c>
      <c r="J6" s="17">
        <f>SUM(J2:J5)</f>
        <v>23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6" t="s">
        <v>22</v>
      </c>
      <c r="B7" s="8"/>
      <c r="C7" s="9" t="s">
        <v>20</v>
      </c>
      <c r="D7" s="17">
        <f>SUM(D3:D6)</f>
        <v>23</v>
      </c>
      <c r="E7" s="17"/>
      <c r="F7" s="9"/>
      <c r="G7" s="9"/>
      <c r="H7" s="9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9" t="s">
        <v>23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38"/>
      <c r="F9" s="38"/>
      <c r="G9" s="38"/>
      <c r="H9" s="3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38"/>
      <c r="F10" s="38"/>
      <c r="G10" s="38"/>
      <c r="H10" s="3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7" t="s">
        <v>24</v>
      </c>
      <c r="B11" s="27" t="s">
        <v>25</v>
      </c>
      <c r="C11" s="28" t="s">
        <v>26</v>
      </c>
      <c r="D11" s="28" t="s">
        <v>27</v>
      </c>
      <c r="E11" s="39" t="s">
        <v>28</v>
      </c>
      <c r="F11" s="39" t="s">
        <v>29</v>
      </c>
      <c r="G11" s="40" t="s">
        <v>30</v>
      </c>
      <c r="H11" s="39" t="s">
        <v>31</v>
      </c>
      <c r="I11" s="27" t="s">
        <v>32</v>
      </c>
      <c r="J11" s="27" t="s">
        <v>33</v>
      </c>
      <c r="K11" s="27" t="s">
        <v>34</v>
      </c>
      <c r="L11" s="29" t="s">
        <v>35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6" t="s">
        <v>102</v>
      </c>
      <c r="B12" s="41"/>
      <c r="C12" s="31" t="s">
        <v>103</v>
      </c>
      <c r="D12" s="31" t="s">
        <v>9</v>
      </c>
      <c r="E12" s="31" t="s">
        <v>104</v>
      </c>
      <c r="F12" s="31" t="s">
        <v>105</v>
      </c>
      <c r="G12" s="31"/>
      <c r="H12" s="31" t="s">
        <v>106</v>
      </c>
      <c r="I12" s="26" t="s">
        <v>43</v>
      </c>
      <c r="J12" s="32" t="s">
        <v>8</v>
      </c>
      <c r="K12" s="26" t="s">
        <v>44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6" t="s">
        <v>107</v>
      </c>
      <c r="B13" s="36"/>
      <c r="C13" s="31" t="s">
        <v>108</v>
      </c>
      <c r="D13" s="31" t="s">
        <v>9</v>
      </c>
      <c r="E13" s="31" t="s">
        <v>104</v>
      </c>
      <c r="F13" s="31" t="s">
        <v>109</v>
      </c>
      <c r="G13" s="31" t="s">
        <v>110</v>
      </c>
      <c r="H13" s="31" t="s">
        <v>111</v>
      </c>
      <c r="I13" s="26" t="s">
        <v>43</v>
      </c>
      <c r="J13" s="32" t="s">
        <v>8</v>
      </c>
      <c r="K13" s="26" t="s">
        <v>44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6" t="s">
        <v>112</v>
      </c>
      <c r="B14" s="41" t="s">
        <v>113</v>
      </c>
      <c r="C14" s="31" t="s">
        <v>114</v>
      </c>
      <c r="D14" s="31" t="s">
        <v>9</v>
      </c>
      <c r="E14" s="31" t="s">
        <v>104</v>
      </c>
      <c r="F14" s="31" t="s">
        <v>115</v>
      </c>
      <c r="G14" s="31" t="s">
        <v>116</v>
      </c>
      <c r="H14" s="31" t="s">
        <v>117</v>
      </c>
      <c r="I14" s="26" t="s">
        <v>43</v>
      </c>
      <c r="J14" s="32" t="s">
        <v>8</v>
      </c>
      <c r="K14" s="26" t="s">
        <v>44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6" t="s">
        <v>118</v>
      </c>
      <c r="B15" s="34"/>
      <c r="C15" s="31" t="s">
        <v>119</v>
      </c>
      <c r="D15" s="31" t="s">
        <v>9</v>
      </c>
      <c r="E15" s="31" t="s">
        <v>104</v>
      </c>
      <c r="F15" s="31" t="s">
        <v>120</v>
      </c>
      <c r="G15" s="31" t="s">
        <v>121</v>
      </c>
      <c r="H15" s="31" t="s">
        <v>122</v>
      </c>
      <c r="I15" s="26" t="s">
        <v>43</v>
      </c>
      <c r="J15" s="32" t="s">
        <v>8</v>
      </c>
      <c r="K15" s="26" t="s">
        <v>44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2" t="s">
        <v>123</v>
      </c>
      <c r="B16" s="34"/>
      <c r="C16" s="35" t="s">
        <v>124</v>
      </c>
      <c r="D16" s="31" t="s">
        <v>9</v>
      </c>
      <c r="E16" s="31" t="s">
        <v>125</v>
      </c>
      <c r="F16" s="35" t="s">
        <v>126</v>
      </c>
      <c r="G16" s="35" t="s">
        <v>127</v>
      </c>
      <c r="H16" s="35" t="s">
        <v>128</v>
      </c>
      <c r="I16" s="26" t="s">
        <v>43</v>
      </c>
      <c r="J16" s="32" t="s">
        <v>12</v>
      </c>
      <c r="K16" s="26" t="s">
        <v>44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2" t="s">
        <v>129</v>
      </c>
      <c r="B17" s="34"/>
      <c r="C17" s="35" t="s">
        <v>130</v>
      </c>
      <c r="D17" s="31" t="s">
        <v>9</v>
      </c>
      <c r="E17" s="31" t="s">
        <v>131</v>
      </c>
      <c r="F17" s="35" t="s">
        <v>132</v>
      </c>
      <c r="G17" s="31" t="s">
        <v>133</v>
      </c>
      <c r="H17" s="35" t="s">
        <v>134</v>
      </c>
      <c r="I17" s="26" t="s">
        <v>43</v>
      </c>
      <c r="J17" s="32" t="s">
        <v>12</v>
      </c>
      <c r="K17" s="26" t="s">
        <v>44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2" t="s">
        <v>135</v>
      </c>
      <c r="B18" s="34"/>
      <c r="C18" s="35" t="s">
        <v>136</v>
      </c>
      <c r="D18" s="31" t="s">
        <v>13</v>
      </c>
      <c r="E18" s="31" t="s">
        <v>104</v>
      </c>
      <c r="F18" s="35" t="s">
        <v>137</v>
      </c>
      <c r="G18" s="35" t="s">
        <v>138</v>
      </c>
      <c r="H18" s="35" t="s">
        <v>139</v>
      </c>
      <c r="I18" s="26" t="s">
        <v>43</v>
      </c>
      <c r="J18" s="32" t="s">
        <v>12</v>
      </c>
      <c r="K18" s="26" t="s">
        <v>44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6" t="s">
        <v>140</v>
      </c>
      <c r="B19" s="34"/>
      <c r="C19" s="31" t="s">
        <v>141</v>
      </c>
      <c r="D19" s="31" t="s">
        <v>74</v>
      </c>
      <c r="E19" s="31" t="s">
        <v>104</v>
      </c>
      <c r="F19" s="31" t="s">
        <v>142</v>
      </c>
      <c r="G19" s="31" t="s">
        <v>133</v>
      </c>
      <c r="H19" s="31" t="s">
        <v>143</v>
      </c>
      <c r="I19" s="26" t="s">
        <v>43</v>
      </c>
      <c r="J19" s="32" t="s">
        <v>12</v>
      </c>
      <c r="K19" s="26" t="s">
        <v>44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6" t="s">
        <v>144</v>
      </c>
      <c r="B20" s="34"/>
      <c r="C20" s="31" t="s">
        <v>145</v>
      </c>
      <c r="D20" s="31" t="s">
        <v>9</v>
      </c>
      <c r="E20" s="31" t="s">
        <v>104</v>
      </c>
      <c r="F20" s="31" t="s">
        <v>146</v>
      </c>
      <c r="G20" s="26" t="s">
        <v>147</v>
      </c>
      <c r="H20" s="31" t="s">
        <v>148</v>
      </c>
      <c r="I20" s="26" t="s">
        <v>43</v>
      </c>
      <c r="J20" s="32" t="s">
        <v>12</v>
      </c>
      <c r="K20" s="26" t="s">
        <v>44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26" t="s">
        <v>149</v>
      </c>
      <c r="B21" s="34"/>
      <c r="C21" s="31" t="s">
        <v>150</v>
      </c>
      <c r="D21" s="31" t="s">
        <v>9</v>
      </c>
      <c r="E21" s="26" t="s">
        <v>151</v>
      </c>
      <c r="F21" s="26" t="s">
        <v>152</v>
      </c>
      <c r="G21" s="26" t="s">
        <v>153</v>
      </c>
      <c r="H21" s="31" t="s">
        <v>154</v>
      </c>
      <c r="I21" s="26" t="s">
        <v>43</v>
      </c>
      <c r="J21" s="32" t="s">
        <v>8</v>
      </c>
      <c r="K21" s="26" t="s">
        <v>44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26" t="s">
        <v>155</v>
      </c>
      <c r="B22" s="34"/>
      <c r="C22" s="35" t="s">
        <v>156</v>
      </c>
      <c r="D22" s="31" t="s">
        <v>9</v>
      </c>
      <c r="E22" s="43" t="s">
        <v>131</v>
      </c>
      <c r="F22" s="31" t="s">
        <v>157</v>
      </c>
      <c r="G22" s="31" t="s">
        <v>133</v>
      </c>
      <c r="H22" s="35" t="s">
        <v>158</v>
      </c>
      <c r="I22" s="26" t="s">
        <v>43</v>
      </c>
      <c r="J22" s="32" t="s">
        <v>8</v>
      </c>
      <c r="K22" s="26" t="s">
        <v>44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26" t="s">
        <v>159</v>
      </c>
      <c r="B23" s="34"/>
      <c r="C23" s="31" t="s">
        <v>160</v>
      </c>
      <c r="D23" s="31" t="s">
        <v>9</v>
      </c>
      <c r="E23" s="31" t="s">
        <v>104</v>
      </c>
      <c r="F23" s="26" t="s">
        <v>161</v>
      </c>
      <c r="G23" s="31" t="s">
        <v>162</v>
      </c>
      <c r="H23" s="31" t="s">
        <v>163</v>
      </c>
      <c r="I23" s="26" t="s">
        <v>43</v>
      </c>
      <c r="J23" s="32" t="s">
        <v>8</v>
      </c>
      <c r="K23" s="26" t="s">
        <v>44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26" t="s">
        <v>164</v>
      </c>
      <c r="B24" s="36"/>
      <c r="C24" s="31" t="s">
        <v>165</v>
      </c>
      <c r="D24" s="31" t="s">
        <v>9</v>
      </c>
      <c r="E24" s="31" t="s">
        <v>104</v>
      </c>
      <c r="F24" s="31" t="s">
        <v>166</v>
      </c>
      <c r="G24" s="26" t="s">
        <v>116</v>
      </c>
      <c r="H24" s="31" t="s">
        <v>167</v>
      </c>
      <c r="I24" s="26" t="s">
        <v>43</v>
      </c>
      <c r="J24" s="32" t="s">
        <v>8</v>
      </c>
      <c r="K24" s="26" t="s">
        <v>44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26" t="s">
        <v>168</v>
      </c>
      <c r="B25" s="44"/>
      <c r="C25" s="35" t="s">
        <v>169</v>
      </c>
      <c r="D25" s="31" t="s">
        <v>9</v>
      </c>
      <c r="E25" s="31" t="s">
        <v>104</v>
      </c>
      <c r="F25" s="31" t="s">
        <v>170</v>
      </c>
      <c r="G25" s="26"/>
      <c r="H25" s="31" t="s">
        <v>171</v>
      </c>
      <c r="I25" s="26" t="s">
        <v>43</v>
      </c>
      <c r="J25" s="32" t="s">
        <v>12</v>
      </c>
      <c r="K25" s="26" t="s">
        <v>44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26" t="s">
        <v>172</v>
      </c>
      <c r="B26" s="45" t="s">
        <v>173</v>
      </c>
      <c r="C26" s="31" t="s">
        <v>174</v>
      </c>
      <c r="D26" s="31" t="s">
        <v>9</v>
      </c>
      <c r="E26" s="31" t="s">
        <v>175</v>
      </c>
      <c r="F26" s="31" t="s">
        <v>176</v>
      </c>
      <c r="G26" s="26" t="s">
        <v>116</v>
      </c>
      <c r="H26" s="31" t="s">
        <v>177</v>
      </c>
      <c r="I26" s="26" t="s">
        <v>43</v>
      </c>
      <c r="J26" s="32" t="s">
        <v>8</v>
      </c>
      <c r="K26" s="26" t="s">
        <v>44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26" t="s">
        <v>178</v>
      </c>
      <c r="B27" s="34"/>
      <c r="C27" s="31" t="s">
        <v>179</v>
      </c>
      <c r="D27" s="31" t="s">
        <v>9</v>
      </c>
      <c r="E27" s="31" t="s">
        <v>180</v>
      </c>
      <c r="F27" s="31" t="s">
        <v>181</v>
      </c>
      <c r="G27" s="31" t="s">
        <v>121</v>
      </c>
      <c r="H27" s="31" t="s">
        <v>182</v>
      </c>
      <c r="I27" s="26" t="s">
        <v>43</v>
      </c>
      <c r="J27" s="32" t="s">
        <v>8</v>
      </c>
      <c r="K27" s="26" t="s">
        <v>44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26" t="s">
        <v>183</v>
      </c>
      <c r="B28" s="34"/>
      <c r="C28" s="31" t="s">
        <v>184</v>
      </c>
      <c r="D28" s="31" t="s">
        <v>74</v>
      </c>
      <c r="E28" s="31" t="s">
        <v>185</v>
      </c>
      <c r="F28" s="31" t="s">
        <v>186</v>
      </c>
      <c r="G28" s="26" t="s">
        <v>133</v>
      </c>
      <c r="H28" s="35" t="s">
        <v>187</v>
      </c>
      <c r="I28" s="26" t="s">
        <v>43</v>
      </c>
      <c r="J28" s="32" t="s">
        <v>12</v>
      </c>
      <c r="K28" s="26" t="s">
        <v>44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26" t="s">
        <v>188</v>
      </c>
      <c r="B29" s="34"/>
      <c r="C29" s="31" t="s">
        <v>189</v>
      </c>
      <c r="D29" s="31" t="s">
        <v>74</v>
      </c>
      <c r="E29" s="31" t="s">
        <v>190</v>
      </c>
      <c r="F29" s="31" t="s">
        <v>191</v>
      </c>
      <c r="G29" s="43" t="s">
        <v>192</v>
      </c>
      <c r="H29" s="31" t="s">
        <v>193</v>
      </c>
      <c r="I29" s="26" t="s">
        <v>43</v>
      </c>
      <c r="J29" s="32" t="s">
        <v>12</v>
      </c>
      <c r="K29" s="26" t="s">
        <v>44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26" t="s">
        <v>194</v>
      </c>
      <c r="B30" s="34"/>
      <c r="C30" s="31" t="s">
        <v>195</v>
      </c>
      <c r="D30" s="31" t="s">
        <v>9</v>
      </c>
      <c r="E30" s="43" t="s">
        <v>196</v>
      </c>
      <c r="F30" s="26" t="s">
        <v>197</v>
      </c>
      <c r="G30" s="26" t="s">
        <v>116</v>
      </c>
      <c r="H30" s="31" t="s">
        <v>198</v>
      </c>
      <c r="I30" s="26" t="s">
        <v>43</v>
      </c>
      <c r="J30" s="32" t="s">
        <v>12</v>
      </c>
      <c r="K30" s="26" t="s">
        <v>44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26" t="s">
        <v>199</v>
      </c>
      <c r="B31" s="34"/>
      <c r="C31" s="31" t="s">
        <v>200</v>
      </c>
      <c r="D31" s="31" t="s">
        <v>9</v>
      </c>
      <c r="E31" s="31" t="s">
        <v>201</v>
      </c>
      <c r="F31" s="31" t="s">
        <v>202</v>
      </c>
      <c r="G31" s="26" t="s">
        <v>203</v>
      </c>
      <c r="H31" s="31" t="s">
        <v>204</v>
      </c>
      <c r="I31" s="26" t="s">
        <v>43</v>
      </c>
      <c r="J31" s="32" t="s">
        <v>12</v>
      </c>
      <c r="K31" s="26" t="s">
        <v>44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26" t="s">
        <v>205</v>
      </c>
      <c r="B32" s="34"/>
      <c r="C32" s="31" t="s">
        <v>206</v>
      </c>
      <c r="D32" s="31" t="s">
        <v>9</v>
      </c>
      <c r="E32" s="31" t="s">
        <v>207</v>
      </c>
      <c r="F32" s="31" t="s">
        <v>208</v>
      </c>
      <c r="G32" s="8"/>
      <c r="H32" s="31" t="s">
        <v>209</v>
      </c>
      <c r="I32" s="26" t="s">
        <v>43</v>
      </c>
      <c r="J32" s="32" t="s">
        <v>8</v>
      </c>
      <c r="K32" s="26" t="s">
        <v>44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26" t="s">
        <v>210</v>
      </c>
      <c r="B33" s="36"/>
      <c r="C33" s="31" t="s">
        <v>211</v>
      </c>
      <c r="D33" s="31" t="s">
        <v>9</v>
      </c>
      <c r="E33" s="26" t="s">
        <v>212</v>
      </c>
      <c r="F33" s="26" t="s">
        <v>213</v>
      </c>
      <c r="G33" s="31" t="s">
        <v>121</v>
      </c>
      <c r="H33" s="26" t="s">
        <v>214</v>
      </c>
      <c r="I33" s="26" t="s">
        <v>43</v>
      </c>
      <c r="J33" s="32" t="s">
        <v>8</v>
      </c>
      <c r="K33" s="26" t="s">
        <v>44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46"/>
      <c r="C34" s="31" t="s">
        <v>215</v>
      </c>
      <c r="D34" s="31" t="s">
        <v>13</v>
      </c>
      <c r="E34" s="26" t="s">
        <v>216</v>
      </c>
      <c r="F34" s="31" t="s">
        <v>217</v>
      </c>
      <c r="G34" s="26" t="s">
        <v>116</v>
      </c>
      <c r="H34" s="31" t="s">
        <v>218</v>
      </c>
      <c r="I34" s="26" t="s">
        <v>43</v>
      </c>
      <c r="J34" s="32" t="s">
        <v>8</v>
      </c>
      <c r="K34" s="26" t="s">
        <v>44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46"/>
      <c r="C35" s="8"/>
      <c r="D35" s="2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46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46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46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46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</sheetData>
  <mergeCells count="5">
    <mergeCell ref="F2:H2"/>
    <mergeCell ref="I2:J2"/>
    <mergeCell ref="B12:B13"/>
    <mergeCell ref="B14:B24"/>
    <mergeCell ref="B26:B33"/>
  </mergeCells>
  <conditionalFormatting sqref="K12:K34">
    <cfRule type="cellIs" dxfId="0" priority="1" operator="equal">
      <formula>"Pass"</formula>
    </cfRule>
  </conditionalFormatting>
  <conditionalFormatting sqref="K12:K34">
    <cfRule type="cellIs" dxfId="1" priority="2" operator="equal">
      <formula>"Fail"</formula>
    </cfRule>
  </conditionalFormatting>
  <conditionalFormatting sqref="K12:K34">
    <cfRule type="cellIs" dxfId="2" priority="3" operator="equal">
      <formula>"NE"</formula>
    </cfRule>
  </conditionalFormatting>
  <conditionalFormatting sqref="K12:K34">
    <cfRule type="cellIs" dxfId="3" priority="4" operator="equal">
      <formula>"NA"</formula>
    </cfRule>
  </conditionalFormatting>
  <dataValidations>
    <dataValidation type="list" allowBlank="1" showErrorMessage="1" sqref="D12:D34">
      <formula1>"Positive,Negative,EC"</formula1>
    </dataValidation>
    <dataValidation type="list" allowBlank="1" showErrorMessage="1" sqref="J12:J34">
      <formula1>"High,Medium,Low"</formula1>
    </dataValidation>
    <dataValidation type="list" allowBlank="1" showErrorMessage="1" sqref="K12:K34">
      <formula1>"Pass,Fail,NE,Na"</formula1>
    </dataValidation>
  </dataValidations>
  <hyperlinks>
    <hyperlink r:id="rId1" ref="A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21.0"/>
    <col customWidth="1" min="5" max="5" width="26.75"/>
    <col customWidth="1" min="6" max="7" width="21.75"/>
    <col customWidth="1" min="8" max="8" width="19.63"/>
    <col customWidth="1" min="9" max="9" width="20.38"/>
  </cols>
  <sheetData>
    <row r="1" ht="1.5" customHeight="1"/>
    <row r="2">
      <c r="A2" s="7" t="s">
        <v>1</v>
      </c>
      <c r="B2" s="8"/>
      <c r="C2" s="9" t="s">
        <v>2</v>
      </c>
      <c r="D2" s="9" t="s">
        <v>3</v>
      </c>
      <c r="E2" s="10"/>
      <c r="F2" s="11" t="s">
        <v>4</v>
      </c>
      <c r="G2" s="12"/>
      <c r="H2" s="13"/>
      <c r="I2" s="14" t="s">
        <v>5</v>
      </c>
      <c r="J2" s="13"/>
      <c r="K2" s="37"/>
    </row>
    <row r="3">
      <c r="A3" s="7" t="s">
        <v>6</v>
      </c>
      <c r="B3" s="8"/>
      <c r="C3" s="16" t="s">
        <v>7</v>
      </c>
      <c r="D3" s="17">
        <f>COUNTIF(K12:K37, "Pass")</f>
        <v>13</v>
      </c>
      <c r="E3" s="10"/>
      <c r="F3" s="18" t="s">
        <v>8</v>
      </c>
      <c r="G3" s="17">
        <f>COUNTIF(J12:J37, "High")</f>
        <v>14</v>
      </c>
      <c r="H3" s="17"/>
      <c r="I3" s="19" t="s">
        <v>9</v>
      </c>
      <c r="J3" s="17">
        <f>COUNTIF(D12:D37, "Positive")</f>
        <v>6</v>
      </c>
      <c r="K3" s="17"/>
    </row>
    <row r="4">
      <c r="A4" s="7" t="s">
        <v>10</v>
      </c>
      <c r="B4" s="8"/>
      <c r="C4" s="18" t="s">
        <v>11</v>
      </c>
      <c r="D4" s="17">
        <f>COUNTIF(K12:K37, "Fail")</f>
        <v>5</v>
      </c>
      <c r="E4" s="10"/>
      <c r="F4" s="20" t="s">
        <v>12</v>
      </c>
      <c r="G4" s="17">
        <f>COUNTIF(J12:J37, "Medium")</f>
        <v>4</v>
      </c>
      <c r="H4" s="17"/>
      <c r="I4" s="19" t="s">
        <v>13</v>
      </c>
      <c r="J4" s="17">
        <f>COUNTIF(D12:D38, "Negative")</f>
        <v>3</v>
      </c>
      <c r="K4" s="17"/>
    </row>
    <row r="5">
      <c r="A5" s="21" t="s">
        <v>219</v>
      </c>
      <c r="B5" s="8"/>
      <c r="C5" s="47" t="s">
        <v>15</v>
      </c>
      <c r="D5" s="48">
        <f>COUNTIF(K12:K37, "NE")</f>
        <v>0</v>
      </c>
      <c r="E5" s="49"/>
      <c r="F5" s="50" t="s">
        <v>16</v>
      </c>
      <c r="G5" s="48">
        <f>COUNTIF(J12:J37, "Low")</f>
        <v>0</v>
      </c>
      <c r="H5" s="17"/>
      <c r="I5" s="19" t="s">
        <v>17</v>
      </c>
      <c r="J5" s="17">
        <f>COUNTIF(D13:D39, "EC")</f>
        <v>9</v>
      </c>
      <c r="K5" s="17"/>
    </row>
    <row r="6">
      <c r="A6" s="7" t="s">
        <v>18</v>
      </c>
      <c r="B6" s="8"/>
      <c r="C6" s="51" t="s">
        <v>19</v>
      </c>
      <c r="D6" s="48">
        <f>COUNTIF(K12:K37, "NA")</f>
        <v>0</v>
      </c>
      <c r="E6" s="49"/>
      <c r="F6" s="52" t="s">
        <v>20</v>
      </c>
      <c r="G6" s="48">
        <f>SUM(G3:G5)</f>
        <v>18</v>
      </c>
      <c r="H6" s="17"/>
      <c r="I6" s="25" t="s">
        <v>21</v>
      </c>
      <c r="J6" s="17">
        <f>SUM(J2:J5)</f>
        <v>18</v>
      </c>
      <c r="K6" s="8"/>
    </row>
    <row r="7">
      <c r="A7" s="26" t="s">
        <v>22</v>
      </c>
      <c r="B7" s="8"/>
      <c r="C7" s="52" t="s">
        <v>20</v>
      </c>
      <c r="D7" s="48">
        <f>SUM(D3:D6)</f>
        <v>18</v>
      </c>
      <c r="E7" s="48"/>
      <c r="F7" s="52"/>
      <c r="G7" s="52"/>
      <c r="H7" s="9"/>
      <c r="I7" s="9"/>
      <c r="J7" s="8"/>
      <c r="K7" s="8"/>
    </row>
    <row r="8">
      <c r="A8" s="19" t="s">
        <v>23</v>
      </c>
      <c r="B8" s="8"/>
      <c r="C8" s="38"/>
      <c r="D8" s="38"/>
      <c r="E8" s="38"/>
      <c r="F8" s="38"/>
      <c r="G8" s="38"/>
      <c r="H8" s="8"/>
      <c r="I8" s="8"/>
      <c r="J8" s="8"/>
      <c r="K8" s="8"/>
    </row>
    <row r="9">
      <c r="C9" s="53"/>
      <c r="D9" s="53"/>
      <c r="E9" s="53"/>
      <c r="F9" s="53"/>
      <c r="G9" s="53"/>
    </row>
    <row r="10">
      <c r="C10" s="53"/>
      <c r="D10" s="53"/>
      <c r="E10" s="53"/>
      <c r="F10" s="53"/>
      <c r="G10" s="53"/>
    </row>
    <row r="11">
      <c r="A11" s="27" t="s">
        <v>24</v>
      </c>
      <c r="B11" s="27" t="s">
        <v>25</v>
      </c>
      <c r="C11" s="40" t="s">
        <v>26</v>
      </c>
      <c r="D11" s="40" t="s">
        <v>27</v>
      </c>
      <c r="E11" s="39" t="s">
        <v>28</v>
      </c>
      <c r="F11" s="39" t="s">
        <v>29</v>
      </c>
      <c r="G11" s="40" t="s">
        <v>30</v>
      </c>
      <c r="H11" s="39" t="s">
        <v>31</v>
      </c>
      <c r="I11" s="27" t="s">
        <v>32</v>
      </c>
      <c r="J11" s="27" t="s">
        <v>33</v>
      </c>
      <c r="K11" s="27" t="s">
        <v>34</v>
      </c>
      <c r="L11" s="29" t="s">
        <v>35</v>
      </c>
      <c r="M11" s="8"/>
    </row>
    <row r="12">
      <c r="A12" s="26" t="s">
        <v>220</v>
      </c>
      <c r="B12" s="45" t="s">
        <v>221</v>
      </c>
      <c r="C12" s="31" t="s">
        <v>222</v>
      </c>
      <c r="D12" s="31" t="s">
        <v>9</v>
      </c>
      <c r="E12" s="31" t="s">
        <v>223</v>
      </c>
      <c r="F12" s="31" t="s">
        <v>224</v>
      </c>
      <c r="G12" s="31" t="s">
        <v>225</v>
      </c>
      <c r="H12" s="31" t="s">
        <v>226</v>
      </c>
      <c r="I12" s="26" t="s">
        <v>227</v>
      </c>
      <c r="J12" s="32" t="s">
        <v>8</v>
      </c>
      <c r="K12" s="26" t="s">
        <v>44</v>
      </c>
      <c r="L12" s="8"/>
    </row>
    <row r="13">
      <c r="A13" s="26" t="s">
        <v>228</v>
      </c>
      <c r="B13" s="34"/>
      <c r="C13" s="31" t="s">
        <v>229</v>
      </c>
      <c r="D13" s="31" t="s">
        <v>9</v>
      </c>
      <c r="E13" s="31" t="s">
        <v>230</v>
      </c>
      <c r="F13" s="31" t="s">
        <v>231</v>
      </c>
      <c r="G13" s="31" t="s">
        <v>232</v>
      </c>
      <c r="H13" s="31" t="s">
        <v>233</v>
      </c>
      <c r="I13" s="26" t="s">
        <v>227</v>
      </c>
      <c r="J13" s="32" t="s">
        <v>8</v>
      </c>
      <c r="K13" s="26" t="s">
        <v>44</v>
      </c>
      <c r="L13" s="8"/>
    </row>
    <row r="14">
      <c r="A14" s="26" t="s">
        <v>234</v>
      </c>
      <c r="B14" s="34"/>
      <c r="C14" s="31" t="s">
        <v>235</v>
      </c>
      <c r="D14" s="31" t="s">
        <v>9</v>
      </c>
      <c r="E14" s="31" t="s">
        <v>236</v>
      </c>
      <c r="F14" s="31" t="s">
        <v>237</v>
      </c>
      <c r="G14" s="31" t="s">
        <v>238</v>
      </c>
      <c r="H14" s="31" t="s">
        <v>239</v>
      </c>
      <c r="I14" s="26" t="s">
        <v>227</v>
      </c>
      <c r="J14" s="32" t="s">
        <v>8</v>
      </c>
      <c r="K14" s="26" t="s">
        <v>44</v>
      </c>
      <c r="L14" s="8"/>
    </row>
    <row r="15">
      <c r="A15" s="26" t="s">
        <v>240</v>
      </c>
      <c r="B15" s="34"/>
      <c r="C15" s="31" t="s">
        <v>241</v>
      </c>
      <c r="D15" s="31" t="s">
        <v>13</v>
      </c>
      <c r="E15" s="31" t="s">
        <v>230</v>
      </c>
      <c r="F15" s="31" t="s">
        <v>242</v>
      </c>
      <c r="G15" s="31" t="s">
        <v>243</v>
      </c>
      <c r="H15" s="31" t="s">
        <v>244</v>
      </c>
      <c r="I15" s="26" t="s">
        <v>227</v>
      </c>
      <c r="J15" s="32" t="s">
        <v>8</v>
      </c>
      <c r="K15" s="26" t="s">
        <v>44</v>
      </c>
      <c r="L15" s="8"/>
    </row>
    <row r="16">
      <c r="A16" s="26" t="s">
        <v>245</v>
      </c>
      <c r="B16" s="34"/>
      <c r="C16" s="31" t="s">
        <v>246</v>
      </c>
      <c r="D16" s="26" t="s">
        <v>13</v>
      </c>
      <c r="E16" s="31" t="s">
        <v>230</v>
      </c>
      <c r="F16" s="26" t="s">
        <v>247</v>
      </c>
      <c r="G16" s="26" t="s">
        <v>248</v>
      </c>
      <c r="H16" s="31" t="s">
        <v>249</v>
      </c>
      <c r="I16" s="26" t="s">
        <v>227</v>
      </c>
      <c r="J16" s="32" t="s">
        <v>8</v>
      </c>
      <c r="K16" s="26" t="s">
        <v>44</v>
      </c>
      <c r="L16" s="8"/>
    </row>
    <row r="17">
      <c r="A17" s="26" t="s">
        <v>250</v>
      </c>
      <c r="B17" s="34"/>
      <c r="C17" s="31" t="s">
        <v>251</v>
      </c>
      <c r="D17" s="26" t="s">
        <v>13</v>
      </c>
      <c r="E17" s="31" t="s">
        <v>230</v>
      </c>
      <c r="F17" s="26" t="s">
        <v>252</v>
      </c>
      <c r="G17" s="26" t="s">
        <v>253</v>
      </c>
      <c r="H17" s="31" t="s">
        <v>254</v>
      </c>
      <c r="I17" s="26" t="s">
        <v>227</v>
      </c>
      <c r="J17" s="32" t="s">
        <v>8</v>
      </c>
      <c r="K17" s="26" t="s">
        <v>44</v>
      </c>
      <c r="L17" s="8"/>
    </row>
    <row r="18">
      <c r="A18" s="26" t="s">
        <v>255</v>
      </c>
      <c r="B18" s="34"/>
      <c r="C18" s="54" t="s">
        <v>256</v>
      </c>
      <c r="D18" s="42" t="s">
        <v>74</v>
      </c>
      <c r="E18" s="55" t="s">
        <v>230</v>
      </c>
      <c r="F18" s="54" t="s">
        <v>257</v>
      </c>
      <c r="G18" s="25" t="s">
        <v>258</v>
      </c>
      <c r="H18" s="31" t="s">
        <v>259</v>
      </c>
      <c r="I18" s="26" t="s">
        <v>227</v>
      </c>
      <c r="J18" s="32" t="s">
        <v>12</v>
      </c>
      <c r="K18" s="26" t="s">
        <v>44</v>
      </c>
      <c r="L18" s="8"/>
    </row>
    <row r="19">
      <c r="A19" s="26" t="s">
        <v>260</v>
      </c>
      <c r="B19" s="34"/>
      <c r="C19" s="55" t="s">
        <v>261</v>
      </c>
      <c r="D19" s="42" t="s">
        <v>74</v>
      </c>
      <c r="E19" s="55" t="s">
        <v>230</v>
      </c>
      <c r="F19" s="55" t="s">
        <v>262</v>
      </c>
      <c r="G19" s="42" t="s">
        <v>263</v>
      </c>
      <c r="H19" s="55" t="s">
        <v>264</v>
      </c>
      <c r="I19" s="55" t="s">
        <v>265</v>
      </c>
      <c r="J19" s="42" t="s">
        <v>8</v>
      </c>
      <c r="K19" s="42" t="s">
        <v>99</v>
      </c>
      <c r="L19" s="31" t="s">
        <v>266</v>
      </c>
    </row>
    <row r="20">
      <c r="A20" s="26" t="s">
        <v>267</v>
      </c>
      <c r="B20" s="34"/>
      <c r="C20" s="31" t="s">
        <v>268</v>
      </c>
      <c r="D20" s="26" t="s">
        <v>74</v>
      </c>
      <c r="E20" s="55" t="s">
        <v>230</v>
      </c>
      <c r="F20" s="54" t="s">
        <v>269</v>
      </c>
      <c r="G20" s="26" t="s">
        <v>270</v>
      </c>
      <c r="H20" s="31" t="s">
        <v>271</v>
      </c>
      <c r="I20" s="55" t="s">
        <v>265</v>
      </c>
      <c r="J20" s="42" t="s">
        <v>8</v>
      </c>
      <c r="K20" s="42" t="s">
        <v>99</v>
      </c>
      <c r="L20" s="31" t="s">
        <v>266</v>
      </c>
    </row>
    <row r="21">
      <c r="A21" s="26" t="s">
        <v>272</v>
      </c>
      <c r="B21" s="34"/>
      <c r="C21" s="31" t="s">
        <v>273</v>
      </c>
      <c r="D21" s="26" t="s">
        <v>9</v>
      </c>
      <c r="E21" s="26" t="s">
        <v>274</v>
      </c>
      <c r="F21" s="26" t="s">
        <v>275</v>
      </c>
      <c r="G21" s="31" t="s">
        <v>276</v>
      </c>
      <c r="H21" s="31" t="s">
        <v>277</v>
      </c>
      <c r="I21" s="26" t="s">
        <v>227</v>
      </c>
      <c r="J21" s="32" t="s">
        <v>8</v>
      </c>
      <c r="K21" s="26" t="s">
        <v>44</v>
      </c>
      <c r="L21" s="8"/>
    </row>
    <row r="22">
      <c r="A22" s="26" t="s">
        <v>278</v>
      </c>
      <c r="B22" s="34"/>
      <c r="C22" s="31" t="s">
        <v>279</v>
      </c>
      <c r="D22" s="26" t="s">
        <v>9</v>
      </c>
      <c r="E22" s="26" t="s">
        <v>280</v>
      </c>
      <c r="F22" s="31" t="s">
        <v>281</v>
      </c>
      <c r="G22" s="31" t="s">
        <v>282</v>
      </c>
      <c r="H22" s="31" t="s">
        <v>283</v>
      </c>
      <c r="I22" s="26" t="s">
        <v>227</v>
      </c>
      <c r="J22" s="32" t="s">
        <v>8</v>
      </c>
      <c r="K22" s="26" t="s">
        <v>44</v>
      </c>
      <c r="L22" s="8"/>
    </row>
    <row r="23">
      <c r="A23" s="26" t="s">
        <v>284</v>
      </c>
      <c r="B23" s="34"/>
      <c r="C23" s="31" t="s">
        <v>285</v>
      </c>
      <c r="D23" s="26" t="s">
        <v>9</v>
      </c>
      <c r="E23" s="31" t="s">
        <v>286</v>
      </c>
      <c r="F23" s="26" t="s">
        <v>287</v>
      </c>
      <c r="G23" s="26" t="s">
        <v>288</v>
      </c>
      <c r="H23" s="31" t="s">
        <v>289</v>
      </c>
      <c r="I23" s="26" t="s">
        <v>227</v>
      </c>
      <c r="J23" s="32" t="s">
        <v>8</v>
      </c>
      <c r="K23" s="26" t="s">
        <v>44</v>
      </c>
      <c r="L23" s="8"/>
    </row>
    <row r="24">
      <c r="A24" s="26" t="s">
        <v>290</v>
      </c>
      <c r="B24" s="34"/>
      <c r="C24" s="31" t="s">
        <v>291</v>
      </c>
      <c r="D24" s="26" t="s">
        <v>74</v>
      </c>
      <c r="E24" s="31" t="s">
        <v>292</v>
      </c>
      <c r="F24" s="31" t="s">
        <v>293</v>
      </c>
      <c r="G24" s="31" t="s">
        <v>294</v>
      </c>
      <c r="H24" s="31" t="s">
        <v>295</v>
      </c>
      <c r="I24" s="26" t="s">
        <v>227</v>
      </c>
      <c r="J24" s="32" t="s">
        <v>8</v>
      </c>
      <c r="K24" s="26" t="s">
        <v>44</v>
      </c>
      <c r="L24" s="8"/>
    </row>
    <row r="25">
      <c r="A25" s="26" t="s">
        <v>296</v>
      </c>
      <c r="B25" s="34"/>
      <c r="C25" s="31" t="s">
        <v>297</v>
      </c>
      <c r="D25" s="26" t="s">
        <v>74</v>
      </c>
      <c r="E25" s="31" t="s">
        <v>292</v>
      </c>
      <c r="F25" s="31" t="s">
        <v>293</v>
      </c>
      <c r="G25" s="31" t="s">
        <v>298</v>
      </c>
      <c r="H25" s="31" t="s">
        <v>299</v>
      </c>
      <c r="I25" s="26" t="s">
        <v>227</v>
      </c>
      <c r="J25" s="32" t="s">
        <v>8</v>
      </c>
      <c r="K25" s="26" t="s">
        <v>44</v>
      </c>
      <c r="L25" s="8"/>
    </row>
    <row r="26">
      <c r="A26" s="26" t="s">
        <v>300</v>
      </c>
      <c r="B26" s="34"/>
      <c r="C26" s="31" t="s">
        <v>301</v>
      </c>
      <c r="D26" s="26" t="s">
        <v>74</v>
      </c>
      <c r="E26" s="31" t="s">
        <v>302</v>
      </c>
      <c r="F26" s="31" t="s">
        <v>303</v>
      </c>
      <c r="G26" s="26" t="s">
        <v>304</v>
      </c>
      <c r="H26" s="31" t="s">
        <v>305</v>
      </c>
      <c r="I26" s="26" t="s">
        <v>227</v>
      </c>
      <c r="J26" s="32" t="s">
        <v>8</v>
      </c>
      <c r="K26" s="26" t="s">
        <v>44</v>
      </c>
      <c r="L26" s="8"/>
    </row>
    <row r="27">
      <c r="A27" s="26" t="s">
        <v>306</v>
      </c>
      <c r="B27" s="36"/>
      <c r="C27" s="31" t="s">
        <v>307</v>
      </c>
      <c r="D27" s="26" t="s">
        <v>74</v>
      </c>
      <c r="E27" s="31" t="s">
        <v>230</v>
      </c>
      <c r="F27" s="31" t="s">
        <v>308</v>
      </c>
      <c r="G27" s="31" t="s">
        <v>309</v>
      </c>
      <c r="H27" s="31" t="s">
        <v>310</v>
      </c>
      <c r="I27" s="31" t="s">
        <v>311</v>
      </c>
      <c r="J27" s="32" t="s">
        <v>12</v>
      </c>
      <c r="K27" s="26" t="s">
        <v>99</v>
      </c>
      <c r="L27" s="31" t="s">
        <v>312</v>
      </c>
    </row>
    <row r="28">
      <c r="A28" s="26" t="s">
        <v>313</v>
      </c>
      <c r="B28" s="8"/>
      <c r="C28" s="31" t="s">
        <v>314</v>
      </c>
      <c r="D28" s="26" t="s">
        <v>74</v>
      </c>
      <c r="E28" s="31" t="s">
        <v>230</v>
      </c>
      <c r="F28" s="31" t="s">
        <v>315</v>
      </c>
      <c r="G28" s="31" t="s">
        <v>316</v>
      </c>
      <c r="H28" s="31" t="s">
        <v>317</v>
      </c>
      <c r="I28" s="31" t="s">
        <v>311</v>
      </c>
      <c r="J28" s="32" t="s">
        <v>12</v>
      </c>
      <c r="K28" s="26" t="s">
        <v>99</v>
      </c>
      <c r="L28" s="8"/>
    </row>
    <row r="29">
      <c r="A29" s="26" t="s">
        <v>318</v>
      </c>
      <c r="B29" s="8"/>
      <c r="C29" s="31" t="s">
        <v>319</v>
      </c>
      <c r="D29" s="26" t="s">
        <v>74</v>
      </c>
      <c r="E29" s="31" t="s">
        <v>230</v>
      </c>
      <c r="F29" s="31" t="s">
        <v>320</v>
      </c>
      <c r="G29" s="31" t="s">
        <v>321</v>
      </c>
      <c r="H29" s="31" t="s">
        <v>322</v>
      </c>
      <c r="I29" s="31" t="s">
        <v>323</v>
      </c>
      <c r="J29" s="32" t="s">
        <v>12</v>
      </c>
      <c r="K29" s="26" t="s">
        <v>99</v>
      </c>
      <c r="L29" s="8"/>
    </row>
    <row r="30">
      <c r="D30" s="26"/>
      <c r="I30" s="53"/>
      <c r="J30" s="32"/>
      <c r="K30" s="26"/>
    </row>
    <row r="31">
      <c r="D31" s="26"/>
      <c r="J31" s="32"/>
      <c r="K31" s="26"/>
    </row>
    <row r="32">
      <c r="D32" s="26"/>
      <c r="J32" s="32"/>
      <c r="K32" s="26"/>
    </row>
    <row r="33">
      <c r="D33" s="26"/>
      <c r="J33" s="32"/>
      <c r="K33" s="26"/>
    </row>
    <row r="34">
      <c r="D34" s="26"/>
      <c r="J34" s="32"/>
      <c r="K34" s="26"/>
    </row>
    <row r="35">
      <c r="D35" s="26"/>
      <c r="J35" s="32"/>
      <c r="K35" s="26"/>
    </row>
    <row r="36">
      <c r="D36" s="26"/>
      <c r="J36" s="32"/>
      <c r="K36" s="26"/>
    </row>
    <row r="37">
      <c r="D37" s="26"/>
    </row>
    <row r="38">
      <c r="D38" s="26"/>
    </row>
    <row r="39">
      <c r="D39" s="26"/>
    </row>
    <row r="40">
      <c r="D40" s="26"/>
    </row>
    <row r="41">
      <c r="D41" s="26"/>
    </row>
    <row r="42">
      <c r="D42" s="26"/>
    </row>
    <row r="43">
      <c r="D43" s="26"/>
    </row>
    <row r="44">
      <c r="D44" s="26"/>
    </row>
    <row r="45">
      <c r="D45" s="26"/>
    </row>
    <row r="46">
      <c r="D46" s="26"/>
    </row>
    <row r="47">
      <c r="D47" s="26"/>
    </row>
    <row r="48">
      <c r="D48" s="26"/>
    </row>
  </sheetData>
  <mergeCells count="3">
    <mergeCell ref="F2:H2"/>
    <mergeCell ref="I2:J2"/>
    <mergeCell ref="B12:B27"/>
  </mergeCells>
  <conditionalFormatting sqref="K12:K36">
    <cfRule type="cellIs" dxfId="0" priority="1" operator="equal">
      <formula>"Pass"</formula>
    </cfRule>
  </conditionalFormatting>
  <conditionalFormatting sqref="K12:K36">
    <cfRule type="cellIs" dxfId="1" priority="2" operator="equal">
      <formula>"Fail"</formula>
    </cfRule>
  </conditionalFormatting>
  <conditionalFormatting sqref="K12:K36">
    <cfRule type="cellIs" dxfId="2" priority="3" operator="equal">
      <formula>"NE"</formula>
    </cfRule>
  </conditionalFormatting>
  <conditionalFormatting sqref="K12:K36">
    <cfRule type="cellIs" dxfId="3" priority="4" operator="equal">
      <formula>"NA"</formula>
    </cfRule>
  </conditionalFormatting>
  <dataValidations>
    <dataValidation type="list" allowBlank="1" showErrorMessage="1" sqref="D12:D48">
      <formula1>"Positive,Negative,EC"</formula1>
    </dataValidation>
    <dataValidation type="list" allowBlank="1" showErrorMessage="1" sqref="J12:J36">
      <formula1>"High,Medium,Low"</formula1>
    </dataValidation>
    <dataValidation type="list" allowBlank="1" showErrorMessage="1" sqref="K12:K36">
      <formula1>"Pass,Fail,NE,Na"</formula1>
    </dataValidation>
  </dataValidations>
  <hyperlinks>
    <hyperlink r:id="rId1" ref="A5"/>
  </hyperlinks>
  <drawing r:id="rId2"/>
</worksheet>
</file>