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OTP" sheetId="1" r:id="rId5"/>
    <sheet state="visible" name="CHANGE EMAIL" sheetId="2" r:id="rId6"/>
    <sheet state="visible" name="PRODUCT" sheetId="3" r:id="rId7"/>
    <sheet state="visible" name="All PRODUCT" sheetId="4" r:id="rId8"/>
    <sheet state="visible" name="CART" sheetId="5" r:id="rId9"/>
    <sheet state="visible" name="WISHLIST" sheetId="6" r:id="rId10"/>
    <sheet state="visible" name="ORDER" sheetId="7" r:id="rId11"/>
  </sheets>
  <definedNames/>
  <calcPr/>
</workbook>
</file>

<file path=xl/sharedStrings.xml><?xml version="1.0" encoding="utf-8"?>
<sst xmlns="http://schemas.openxmlformats.org/spreadsheetml/2006/main" count="2039" uniqueCount="1043">
  <si>
    <r>
      <rPr>
        <rFont val="Arial"/>
        <b/>
        <color theme="1"/>
      </rPr>
      <t>Company's Name:</t>
    </r>
    <r>
      <rPr>
        <rFont val="Arial"/>
        <color theme="1"/>
      </rPr>
      <t xml:space="preserve"> QA TESTCRAFT</t>
    </r>
  </si>
  <si>
    <t>TEST STATUS</t>
  </si>
  <si>
    <t>TEST SUMMARY</t>
  </si>
  <si>
    <t>TEST TYPE</t>
  </si>
  <si>
    <t>PRIORITY</t>
  </si>
  <si>
    <t>Tested By</t>
  </si>
  <si>
    <t>Isioma and Peter</t>
  </si>
  <si>
    <t>Pass (P)</t>
  </si>
  <si>
    <t>Positive</t>
  </si>
  <si>
    <t>High</t>
  </si>
  <si>
    <t>Date</t>
  </si>
  <si>
    <t>Fail (F)</t>
  </si>
  <si>
    <t>Negative</t>
  </si>
  <si>
    <t>Medium</t>
  </si>
  <si>
    <t>Not Excuted (NE)</t>
  </si>
  <si>
    <t>TOTAL</t>
  </si>
  <si>
    <t>Low</t>
  </si>
  <si>
    <t>Not Applicable (NA)</t>
  </si>
  <si>
    <t>Testcase ID</t>
  </si>
  <si>
    <t>MODULE</t>
  </si>
  <si>
    <t>Testcase Description</t>
  </si>
  <si>
    <t>Precondition</t>
  </si>
  <si>
    <t>Test Data</t>
  </si>
  <si>
    <t>Steps To Reproduce</t>
  </si>
  <si>
    <t>Expected Result</t>
  </si>
  <si>
    <t>Actual Result</t>
  </si>
  <si>
    <t>Test Type</t>
  </si>
  <si>
    <t>Priority</t>
  </si>
  <si>
    <t>Status</t>
  </si>
  <si>
    <t>Comment</t>
  </si>
  <si>
    <t>QA _TC-001</t>
  </si>
  <si>
    <t>LOGIN</t>
  </si>
  <si>
    <t>Verify that the URL is accessible and redirects the user to the homepage.</t>
  </si>
  <si>
    <t>URL</t>
  </si>
  <si>
    <r>
      <rPr/>
      <t xml:space="preserve">URL: </t>
    </r>
    <r>
      <rPr>
        <color rgb="FF1155CC"/>
        <u/>
      </rPr>
      <t>www.qatescraft.com</t>
    </r>
  </si>
  <si>
    <t>1. Launch the URL
2. Press Enter
3.Observe the page that loads</t>
  </si>
  <si>
    <t>The URL should be accessible and redirects user to the homepage successfully</t>
  </si>
  <si>
    <t>As expected</t>
  </si>
  <si>
    <t>P</t>
  </si>
  <si>
    <t>QA_TC_002</t>
  </si>
  <si>
    <t>Verify that the “Testing” feature is visible on the homepage and redirects the user to the e-commerce page.</t>
  </si>
  <si>
    <t xml:space="preserve">Homepage loads successfully
</t>
  </si>
  <si>
    <t xml:space="preserve">1. Click on the Testing feature
2. Click on  UI Practice 
3. Click on the ecommerce feature </t>
  </si>
  <si>
    <t>Testing feature should be visible on the homepage and redirects user to the ecommerce page</t>
  </si>
  <si>
    <t>QA_TC_003</t>
  </si>
  <si>
    <t xml:space="preserve"> Verify that the correct QA TestCraft logo is displayed on the homepage</t>
  </si>
  <si>
    <t>User has access to the application/website
Homepage loads successfully</t>
  </si>
  <si>
    <t>QA TestCraft Logo</t>
  </si>
  <si>
    <t>1. Launch the URL
2. Click on Testing feature
3. Click on  UI Practice from the  Testing feature dropdown.
4.. Click on the ecommerce feature 
5. Observe the logo displayed in the header section"</t>
  </si>
  <si>
    <t>The QA TestCraft Logo should be displayed correctly on the ecommerce dashboard</t>
  </si>
  <si>
    <t>The right QA testCraft Logo was not displayed correctly</t>
  </si>
  <si>
    <t>F</t>
  </si>
  <si>
    <t>QA TestCraft Logo was displayed incorrectly on the E-commerce dashboard but correctly displayed on the homepage</t>
  </si>
  <si>
    <t>Verify that a new user is automatically registered upon first login with a valid email and OTP</t>
  </si>
  <si>
    <t>User does not have an existing account</t>
  </si>
  <si>
    <t>Email: oganaisioma@mail.com
OTP: 123456</t>
  </si>
  <si>
    <t>1. Enter a new valid email address
2. Click Send OTP
3. Enter the OTP generated (or static code 123456)
4. Click Verify OTP</t>
  </si>
  <si>
    <t xml:space="preserve">System automatically registers the user and logs them in successfully. </t>
  </si>
  <si>
    <t>QA_TC_004</t>
  </si>
  <si>
    <t>Title: Verify that the user can log in with a valid email address and OTP</t>
  </si>
  <si>
    <t>User is have a valid email address
OTP service is active and functional</t>
  </si>
  <si>
    <t>Email: oganaisioma@gmail.com</t>
  </si>
  <si>
    <t>"1. Click on the Login button on the ecommerce dashboard
2. Enter a valid email address
3. Click on ""Send Login Code""
4. Enter the  6-digit OTP sent
5. Click on ""Verify OTP""button"</t>
  </si>
  <si>
    <t>User should be able to login successfully with a valid email address and OTP</t>
  </si>
  <si>
    <t>QA_TC_005</t>
  </si>
  <si>
    <t>Verify that the system prevents access to E-commerce dashboard without login.</t>
  </si>
  <si>
    <t>1. Launch the URL
2. Click on Testing featuire
3. Click on  UI Practice from the Testing feature dropdown.
4.. Click on the E-Commerce feature from the UI Practice drop down.
5. Observe the page displayed.</t>
  </si>
  <si>
    <t>User should be redirected to Login Page before accessing the E-Commerce dashboard.</t>
  </si>
  <si>
    <t>Clicking on "E-Commerce" feature from the "UI Practice" dropdown redirects user directly to E-commerce Dashboard without login.</t>
  </si>
  <si>
    <t>This is a bug. There should be a pop up meassge directing the user to login in first to access the e-commerce page</t>
  </si>
  <si>
    <t>QA_TC_006</t>
  </si>
  <si>
    <t>Verify that user cannot login with an invalid email address and invalid OTP</t>
  </si>
  <si>
    <t>User is on the login page</t>
  </si>
  <si>
    <t>Email: oganaisioma@gmail
OTP:678950</t>
  </si>
  <si>
    <t>1. Click on the Login button on the ecommerce dashboard
2. Enter an invalid email address
3. Click on "Send Login Code"
4. Enter an ivalid 6-digit OTP sent
5. Click on "Verify OTP"button</t>
  </si>
  <si>
    <t>An error  message  should be displayed prompting the user to enter a valid login details. Thus, preventing the user from logging in</t>
  </si>
  <si>
    <t>QA_TC_007</t>
  </si>
  <si>
    <t>Verify that user can not login with email containing special characters</t>
  </si>
  <si>
    <t>Email:oga#$%@gmail.com</t>
  </si>
  <si>
    <t>1. Click on the Login button on the ecommerce dashboard
2. Enter an email containing special characters
3. Click on "Send Login Code"</t>
  </si>
  <si>
    <t>An error message should pop up prompting the user to enter a valid email</t>
  </si>
  <si>
    <t>User was able to login with email containing special characters</t>
  </si>
  <si>
    <t>QA_TC_008</t>
  </si>
  <si>
    <t>Verify that user can not login with non existing email</t>
  </si>
  <si>
    <t>Email:oganaisi@gmail.com</t>
  </si>
  <si>
    <t>1. Click on the Login button on the ecommerce dashboard
2. Enter a non existing  email address 
3.  Click on "Send Login Code"</t>
  </si>
  <si>
    <t>User was able to login with non existing email and redirected to the ecommerce dashboard</t>
  </si>
  <si>
    <t>QA_TC_009</t>
  </si>
  <si>
    <t xml:space="preserve"> Verify that the user cannot log in with a valid email address and an incorrect OTP</t>
  </si>
  <si>
    <t>Email:oganaisi@gmail.com
OTP: 345679</t>
  </si>
  <si>
    <t>1. Click on the Login button on the ecommerce dashboard
2. Enter a valid  email 
3.  Click on "Send Login Code"
4. Enter an incorrect OTP
5. Click on "verify OTP"</t>
  </si>
  <si>
    <t>An error message should pop up displaying "enter  correct OTP"</t>
  </si>
  <si>
    <t>QA_TC_010</t>
  </si>
  <si>
    <t>Verify Login Fails with Valid Email and Incomplete OTP</t>
  </si>
  <si>
    <t>Email:oganaisi@gmail.com
OTP: 34219</t>
  </si>
  <si>
    <t>1. Click on the Login button on the ecommerce dashboard
2. Enter a valid  email 
3.  Click on "Send Login Code"
4. Enter an incomplete OTP
5. Click on "verify OTP"</t>
  </si>
  <si>
    <t>An error message should pop up displaying "enter a valid OTP"</t>
  </si>
  <si>
    <t>QA_TC_011</t>
  </si>
  <si>
    <t>Verify that "Send Login Code" button is not enabled/clickable when email field is left blank</t>
  </si>
  <si>
    <t xml:space="preserve">1. Click on the Login button on the ecommerce dashboard
2. Leave email field blank
3.  Observe  the "Send Login Code" button 
</t>
  </si>
  <si>
    <t xml:space="preserve">-"Send  Login Code" button is not enabled/Clickable </t>
  </si>
  <si>
    <t>QA_TC_012</t>
  </si>
  <si>
    <t>Verify login with blank OTP field .</t>
  </si>
  <si>
    <t>Email:oganaisioma@gmail.com</t>
  </si>
  <si>
    <t>1. Click on the Login button on the ecommerce dashboard
2. Enter a valid  email 
3.  Click on "Send Login Code"
4. Leave OTP field empty
5. Observe "Verify OTP" button</t>
  </si>
  <si>
    <t>"Verify OTP " button is inactive hence, preventing user's login</t>
  </si>
  <si>
    <t>QA_TC_013</t>
  </si>
  <si>
    <t>Verify login with valid email and expired OTP</t>
  </si>
  <si>
    <t>Email:oganaisioma@gmail.com
OTP: 342196</t>
  </si>
  <si>
    <t>"1. Click on the Login button on the ecommerce dashboard
2. Enter a valid  email 
3.  Click on "Send Login Code"
4. Enter an expired OTP 
5. Click on "verify OTP"</t>
  </si>
  <si>
    <t xml:space="preserve">An error message should pop up displaying "OTP  has expired, request another OTP" </t>
  </si>
  <si>
    <t>An error message popped up dispaying "Invalid OTP" and not "OTP has expired"</t>
  </si>
  <si>
    <t>OTP expires after 1 mins. Though, QA_TC_13, when excuted passed, but the error message displayed (invalid OTP) which needs to be corrected to "OTP has expired". Thus, it is being tagged as a bug</t>
  </si>
  <si>
    <t>QA_TC_014</t>
  </si>
  <si>
    <t>Verify OTP expires after configured time (1mins)</t>
  </si>
  <si>
    <t xml:space="preserve">"1. Click on the Login button on the ecommerce dashboard
2. Enter a valid  email 
3.  Click on "Send Login Code"
4. Wait for 1 mins to observe if the OTP expires
</t>
  </si>
  <si>
    <t>An error message should pop up displaying "Request time out"</t>
  </si>
  <si>
    <t>QA_TC_015</t>
  </si>
  <si>
    <t>Verify login with OTP copied/pasted instead of typed</t>
  </si>
  <si>
    <t>Email:oganaisioma@gmail.com
OTP: 34219</t>
  </si>
  <si>
    <t>1. Click on the Login button on the ecommerce dashboard
2. Enter a valid  email 
3.  Click on "Send Login Code"
4. Copy the OTP given and paste it in the OTP field
5. Click on "verify OTP"</t>
  </si>
  <si>
    <t>User should be able to login successfully with a copy and pasted OTP</t>
  </si>
  <si>
    <t>QA_TC_016</t>
  </si>
  <si>
    <t>Verify user cannot login with special characters in OTP</t>
  </si>
  <si>
    <t>Email:oganaisioma@gmail.com
OTP: 342$@</t>
  </si>
  <si>
    <t>1. Click on the Login button on the ecommerce dashboard
2. Enter a valid  email 
3.  Click on "Send Login Code"
4. Enter non-numeric values in OTP field
5. Observe the OTP field behaviour</t>
  </si>
  <si>
    <t>Users should not be able to login with OTP containing special characters.</t>
  </si>
  <si>
    <t>User was not able to login with OTP containing special characters</t>
  </si>
  <si>
    <t>QA_TC_017</t>
  </si>
  <si>
    <t>Verify OTP becomes invalid after server restart/reload</t>
  </si>
  <si>
    <t>User has a valid email, OTP service is active</t>
  </si>
  <si>
    <t>Email: oganaisioma@gmail.com
OTP: dynamic OTP before restart</t>
  </si>
  <si>
    <t>1. Enter valid email
2. Click Send OTP → redirected to OTP page
3. Enter OTP before restart → login works
4. Restart server
5. Enter same OTP after restart
6. Click on "Verify OTP"</t>
  </si>
  <si>
    <t>-Login should be successful with valid OTP before restart 
-OTP entered after restart should fail with error message "Invalid OTP, request a new code"</t>
  </si>
  <si>
    <t>-User was successfully logged in with valid OTP before restart. 
-OTP entered after restart failed displaying error message "Invalid OTP, request a new code"</t>
  </si>
  <si>
    <t>QA_TC_018</t>
  </si>
  <si>
    <t>Verify successful login with static fallback OTP "123456 " after server restart</t>
  </si>
  <si>
    <t>Email: oganaisioma@gmail.com
Static OTP: 123456</t>
  </si>
  <si>
    <t>1. Enter valid email → OTP is auto-generated
2. Ignore the generated OTP
3. Enter static fallback OTP 123456
4. Click on "Verify OTP"</t>
  </si>
  <si>
    <t>User should be able to login successfully using static fallback OTP</t>
  </si>
  <si>
    <t>User was able to login successfully using static fallback OTP</t>
  </si>
  <si>
    <t>QA_TC_019</t>
  </si>
  <si>
    <t>Verify new OTP is generated after server restarts</t>
  </si>
  <si>
    <t>Email: oganaisioma@gmail.com
New OTP: 567890</t>
  </si>
  <si>
    <t xml:space="preserve">1. Enter valid email → new OTP is auto-generated
2. Copy/paste or type the new OTP
3. Click on "Verify OTP"
</t>
  </si>
  <si>
    <t>Login should be successful with the new OTP</t>
  </si>
  <si>
    <t>Login was successful with new OTP after server restarted.</t>
  </si>
  <si>
    <t>QA_TC_020</t>
  </si>
  <si>
    <t>Verify resend OTP functionality (if system supports re-entry)</t>
  </si>
  <si>
    <t>Valid email address and OTP</t>
  </si>
  <si>
    <t>Email: oganaisioma@gmail.com
New OTP</t>
  </si>
  <si>
    <t>1. Enter valid email → OTP auto-generated
2. Observed the OTP displayed
3. Re-enter email again to trigger a fresh OTP
4. Enter new OTP
5. Click on "Verify OTP"</t>
  </si>
  <si>
    <t>User logs in successfully with latest OTP</t>
  </si>
  <si>
    <t>Users was successfully logged in with the latest OTP</t>
  </si>
  <si>
    <t>QA_TC_021</t>
  </si>
  <si>
    <t>Verify user cannot login with case-sensitive email</t>
  </si>
  <si>
    <t xml:space="preserve">Valid email </t>
  </si>
  <si>
    <t xml:space="preserve">Email: OGANAISIOMA@GMAIL.COM
</t>
  </si>
  <si>
    <t>1. Enter valid email in uppercase
2. Click Send OTP → redirected to OTP page
3. Enter OTP
4. Click on "Verify OTP"</t>
  </si>
  <si>
    <t>User should not be allowed to login with case sensitive email</t>
  </si>
  <si>
    <t>Users was successfully logged in with case sensitive email</t>
  </si>
  <si>
    <t>QA_TC_022</t>
  </si>
  <si>
    <t>Verify OTP auto-fill allows user to login successfully</t>
  </si>
  <si>
    <t xml:space="preserve">OTP </t>
  </si>
  <si>
    <t xml:space="preserve">"Email: oganaisioma@gmail.com
</t>
  </si>
  <si>
    <t xml:space="preserve">1. Enter valid email
2. Click Send OTP → redirected to OTP page
3. Wait for OTP auto-fill
</t>
  </si>
  <si>
    <t>OTP auto-filled should logged in user automatically</t>
  </si>
  <si>
    <t>Auto-fill feature is not applicable</t>
  </si>
  <si>
    <t>NA</t>
  </si>
  <si>
    <t>QA_TC_023</t>
  </si>
  <si>
    <t>Verify multiple wrong OTP attemptst temporarily locks user account</t>
  </si>
  <si>
    <t>"Email: oganaisioma@gmail.com
Wrong OTP: 678956</t>
  </si>
  <si>
    <t>1. Enter valid email
2. Click Send OTP → redirected to OTP page
3. Enter wrong OTP multiple times (e.g., 5 times)
4. Click on "Verify OTP"</t>
  </si>
  <si>
    <t>Account should temporarily locked OR error: "Too many failed attempts" should be displayed.</t>
  </si>
  <si>
    <t>Not Applicable</t>
  </si>
  <si>
    <r>
      <rPr>
        <rFont val="Arial"/>
        <b/>
        <color theme="1"/>
      </rPr>
      <t>Company's Name:</t>
    </r>
    <r>
      <rPr>
        <rFont val="Arial"/>
        <color theme="1"/>
      </rPr>
      <t xml:space="preserve"> QA TESTCRAFT</t>
    </r>
  </si>
  <si>
    <t>Module</t>
  </si>
  <si>
    <t>QTC_CE_001</t>
  </si>
  <si>
    <t>Change Email</t>
  </si>
  <si>
    <t>Verify that "Change Email" feature is visible on the OTP page</t>
  </si>
  <si>
    <t>OTP screen</t>
  </si>
  <si>
    <t>1. Navigate to the OTP page
2. Observe the "Change Email" feature is visible</t>
  </si>
  <si>
    <t>"Change Email" feature should be visible on the OTP page</t>
  </si>
  <si>
    <t>"Change Email" feature is visible on the OTP page</t>
  </si>
  <si>
    <t>p</t>
  </si>
  <si>
    <t>QTC_CE_002</t>
  </si>
  <si>
    <t>Verify that "Change Email" feature is clickable and redirects user to the "Change Email" page</t>
  </si>
  <si>
    <t>Change Email Page</t>
  </si>
  <si>
    <t>1. Navigate to the OTP page
2. Click on the "Change Email" feature 
3. Observe the behaviour</t>
  </si>
  <si>
    <t>"Change Email" feature should be clickable and redirects user to the "Change Email" page</t>
  </si>
  <si>
    <t>"Change Email" feature is clickable and redirects user to the "Change Email" page</t>
  </si>
  <si>
    <t>QTC_CE_003</t>
  </si>
  <si>
    <t>Verify old email is displayed on "Change Email page"</t>
  </si>
  <si>
    <t>Old Email: oganaisioma@gmail.com</t>
  </si>
  <si>
    <t>1. Click on the "Change Email" button
2. Observe textbox</t>
  </si>
  <si>
    <t>Old email should be pre-filled in textbox</t>
  </si>
  <si>
    <t>Old email is pre-filled in textbox</t>
  </si>
  <si>
    <t>QTC_CE_004</t>
  </si>
  <si>
    <t>Verify user can enter a new valid email</t>
  </si>
  <si>
    <t>User on Change Email page</t>
  </si>
  <si>
    <t>New Email: ogbechieissy@gmail.com</t>
  </si>
  <si>
    <t>1. Enter new valid email
2. Click "Send OTP"</t>
  </si>
  <si>
    <t>- New email should redirects user to the OTP page
- OTP is auto-generated</t>
  </si>
  <si>
    <t>As Expected</t>
  </si>
  <si>
    <t>QTC_CE_005</t>
  </si>
  <si>
    <t>Verify invalid email format is rejected</t>
  </si>
  <si>
    <t>abc.com</t>
  </si>
  <si>
    <t>1. Enter invalid email
2. Click Send OTP</t>
  </si>
  <si>
    <t>An error message should be displayed, prompting the user to enter a valid email</t>
  </si>
  <si>
    <t>QTC_CE_006</t>
  </si>
  <si>
    <t>Verify blank email field is not allowed</t>
  </si>
  <si>
    <t xml:space="preserve">1. Leave email field empty
2. "Click Send OTP"
</t>
  </si>
  <si>
    <t>"Send OTP" button should be disenable and not clickable</t>
  </si>
  <si>
    <t>QTC_CE_007</t>
  </si>
  <si>
    <t xml:space="preserve"> Verify Cancel keeps old email unchanged</t>
  </si>
  <si>
    <t>User is on the OTP page</t>
  </si>
  <si>
    <t>1. Click on  "Cancel" button</t>
  </si>
  <si>
    <t>Clicking on "Cancel" should prevent email change</t>
  </si>
  <si>
    <t>QTC_CE_008</t>
  </si>
  <si>
    <t>Verify login works with new email after change</t>
  </si>
  <si>
    <t>1. Logout
2. Login with new email</t>
  </si>
  <si>
    <t>Login should work successfully with new email after change</t>
  </si>
  <si>
    <t>QTC_CE_009</t>
  </si>
  <si>
    <t>Verify that old email cannot be reused as new email</t>
  </si>
  <si>
    <t>1. Enter the same email as the existing/old email in the New Email field
2. Click "Send OTP"</t>
  </si>
  <si>
    <t>System should display an error message prompting the user to enter new email</t>
  </si>
  <si>
    <t>System accepted old email and redirects user to the OTP page.</t>
  </si>
  <si>
    <t>QTC_OP_010</t>
  </si>
  <si>
    <t xml:space="preserve"> OTP Page</t>
  </si>
  <si>
    <t>Verify OTP is auto-generated on OTP page</t>
  </si>
  <si>
    <t>User redirected to OTP page</t>
  </si>
  <si>
    <t>1. Enter new valid email
2. Click "Send OTP"
3. Observe OTP page</t>
  </si>
  <si>
    <t>OTP should be auto generated and displayed below"Enter OTP" button</t>
  </si>
  <si>
    <t>QTC_OP_011</t>
  </si>
  <si>
    <t>Verify valid OTP is accepted</t>
  </si>
  <si>
    <t>User on OTP page</t>
  </si>
  <si>
    <t>Valid OTP: 567890</t>
  </si>
  <si>
    <t>1. Enter valid OTP
2. Click "Verify OTP"</t>
  </si>
  <si>
    <t>User should be able to login successfully</t>
  </si>
  <si>
    <t>QTC_OP_012</t>
  </si>
  <si>
    <t>Verify invalid OTP is rejected</t>
  </si>
  <si>
    <t>Valid OTP: 577890</t>
  </si>
  <si>
    <t>1. Enter incorrect OTP
2. Click "Verify OTP"</t>
  </si>
  <si>
    <t>Invalid OTP should not login user</t>
  </si>
  <si>
    <t>QTC_OP_013</t>
  </si>
  <si>
    <t>Verify that the system enforces a limit on the number of OTP resend attempts to prevent abuse</t>
  </si>
  <si>
    <t>N/A</t>
  </si>
  <si>
    <t>1. Wait for timer to expire 
2. Click Resend OTP repeatedly like more than 5 times</t>
  </si>
  <si>
    <t>System should block excessive requests and display a message such as “Maximum resend attempts reached, please try again later”</t>
  </si>
  <si>
    <t>System allows unlimited resend requests without showing any warning or restriction</t>
  </si>
  <si>
    <t>QTC_RSO_014</t>
  </si>
  <si>
    <t>Resend OTP</t>
  </si>
  <si>
    <t>Verify that the "Resend OTP" feature is visible on the OTP page</t>
  </si>
  <si>
    <t xml:space="preserve">1. Navigate to OTP page.
2. Observe the OTP page for "Resend OTP " feature
</t>
  </si>
  <si>
    <t>"Resend OTP " feature should be visible on the OTP page</t>
  </si>
  <si>
    <t>QTC_RSO_015</t>
  </si>
  <si>
    <t>Verify that clicking on "Resend OTP" generates a new OTP</t>
  </si>
  <si>
    <t>1. Click "Resend Code"</t>
  </si>
  <si>
    <t>Clicking on "Resend OTP" should generate new OTP</t>
  </si>
  <si>
    <t>QTC_RSO_016</t>
  </si>
  <si>
    <t>Verify that newly generated OTP  is different from the old one</t>
  </si>
  <si>
    <t>User is on the OTP screen with an OTP already generated</t>
  </si>
  <si>
    <t>New generated OTP:675432
Old OTP:987654</t>
  </si>
  <si>
    <t>1. Note down the first OTP generated
2. Click on the "Resend OTP" feature
3. Observe the new OTP generated
4. Compare the old OTP with the new OTP</t>
  </si>
  <si>
    <t>The newly generated OTP should be different from the old OTP and it should be invalidated</t>
  </si>
  <si>
    <t>QTC_RSO_017</t>
  </si>
  <si>
    <t>Verify multiple Resend requests only validate latest OTP</t>
  </si>
  <si>
    <t>User clicks Resend multiple times</t>
  </si>
  <si>
    <t>Latest OTP: 654321</t>
  </si>
  <si>
    <t>1. Click Resend multiple times
2. Try latest OTP</t>
  </si>
  <si>
    <t>Only the latest OTP  should work; older ones should be  invalid</t>
  </si>
  <si>
    <t>QTC_RSO_018</t>
  </si>
  <si>
    <t>Verify old OTP becomes invalid once a new one is sent</t>
  </si>
  <si>
    <t>User clicked "Resend OTP" feature</t>
  </si>
  <si>
    <t>Old OTP:987654</t>
  </si>
  <si>
    <t xml:space="preserve">1. Enter old OTP
2. Click "Verify OTP"
</t>
  </si>
  <si>
    <t>Error message should  be displayd,showing "invalid OTP", please try again</t>
  </si>
  <si>
    <t>QTC_OT_019</t>
  </si>
  <si>
    <t>OTP TIMER</t>
  </si>
  <si>
    <t>Verify" OTP Timer" starts after OTP generation</t>
  </si>
  <si>
    <t>1. Observe countdown of the  "OTP timer"</t>
  </si>
  <si>
    <t xml:space="preserve">Timer starts  (60s), "Resend OTP" button should be disabled </t>
  </si>
  <si>
    <t>QTC_OT_020</t>
  </si>
  <si>
    <t>Verify" Resend OTP" button is enabled only after timer expires</t>
  </si>
  <si>
    <t>1. Wait for the "OTP Timer" to expire</t>
  </si>
  <si>
    <t>"Resend OTP" button becomes enabled</t>
  </si>
  <si>
    <t>QTC_OT_021</t>
  </si>
  <si>
    <t>Verify user cannot click "Resend OTP" button before  OTP Timer ends</t>
  </si>
  <si>
    <t>1. Attempt to click "Resend OTP" button during countdown</t>
  </si>
  <si>
    <t>"Resend OTP" button should be disabled.</t>
  </si>
  <si>
    <t>QTC_OT_022</t>
  </si>
  <si>
    <t>Verify "OTP Timer" resets after each resend</t>
  </si>
  <si>
    <t>User requested new OTP</t>
  </si>
  <si>
    <t>1. Click "Resend OTP"
2. Observe new timer</t>
  </si>
  <si>
    <t>Timer resets to full duration (60s)</t>
  </si>
  <si>
    <t>zQTC_OT_023</t>
  </si>
  <si>
    <t>Verify timer UI updates correctly</t>
  </si>
  <si>
    <t>1. Observe countdown display</t>
  </si>
  <si>
    <t>Timer decreases each second (00:59 → 00:58)</t>
  </si>
  <si>
    <r>
      <rPr>
        <rFont val="Arial"/>
        <b/>
        <color theme="1"/>
      </rPr>
      <t>Company's Name:</t>
    </r>
    <r>
      <rPr>
        <rFont val="Arial"/>
        <color theme="1"/>
      </rPr>
      <t xml:space="preserve"> QA TESTCRAFT</t>
    </r>
  </si>
  <si>
    <t>QA_TC_SP_001</t>
  </si>
  <si>
    <t>SEARCH PRODUCTS</t>
  </si>
  <si>
    <t xml:space="preserve">Verify search product by category returns exact match when full product category is entered </t>
  </si>
  <si>
    <t>User is logged in and products exist in catalog</t>
  </si>
  <si>
    <t>Product Category: Electronic</t>
  </si>
  <si>
    <t xml:space="preserve">1. Enter product category "Electronic"
2. Press "Enter" on your keyboard
</t>
  </si>
  <si>
    <t>All products in category “Electronic” should be displayed with details</t>
  </si>
  <si>
    <t>User was redirected to the product listing page without displaying any product under the category " Electronic"</t>
  </si>
  <si>
    <t>QA_TC_SP_002</t>
  </si>
  <si>
    <t xml:space="preserve">Verify search product by name returns exact match when full product name is entered </t>
  </si>
  <si>
    <t>Product Name: Smart Home Assistant</t>
  </si>
  <si>
    <t xml:space="preserve">1. Enter product name "Smart Home Assistant"
2. Press "Enter" on your keyboard
</t>
  </si>
  <si>
    <t>All products with name“Smart Name Assistant” should be displayed with details</t>
  </si>
  <si>
    <t>User was redirected to the product listing page without displaying any product under the searched name "Smart Home Assistant"</t>
  </si>
  <si>
    <t>QA_TC_SP_003</t>
  </si>
  <si>
    <t>Verify search works with partial keywords</t>
  </si>
  <si>
    <t>"Electro"</t>
  </si>
  <si>
    <t xml:space="preserve">1. Enter “Electro” in search bar
2 . Press "Enter" on your keyboard
</t>
  </si>
  <si>
    <t>Products under category “Electro”  should be  displayed</t>
  </si>
  <si>
    <t>QA_TC_SP_004</t>
  </si>
  <si>
    <t>Verify that user can navigate back to home page from product listing page</t>
  </si>
  <si>
    <t>User is logged in and on Product Listing page</t>
  </si>
  <si>
    <t>1. Try to go back to the home page without using the Home menu</t>
  </si>
  <si>
    <t>Clicking on the "Back" button should navigate user back to the "E-commerce" homepage from the product listing page</t>
  </si>
  <si>
    <t>No dedicated Back button; user must click "Home" to return</t>
  </si>
  <si>
    <t>Log as defect/improvement.</t>
  </si>
  <si>
    <t>QA_TC_SP_005</t>
  </si>
  <si>
    <t>Verify that clicking the "Search Product"  button triggers a search</t>
  </si>
  <si>
    <t>Toys &amp;Games</t>
  </si>
  <si>
    <t>1. Type a valid product name in search bar 
2. Click Search button instead of pressing " Enter" on your keyboard</t>
  </si>
  <si>
    <t>Clicking  the "Search Product" button should trigger a search and display result</t>
  </si>
  <si>
    <t xml:space="preserve">When the "Search Product" button is clicked on, nothing happens. User must press "Enter" on the keyboard to trigger search </t>
  </si>
  <si>
    <t>Log as defect/improvement</t>
  </si>
  <si>
    <t>QA_TC_SP_006</t>
  </si>
  <si>
    <t>Verify behavior when search is triggered with empty input</t>
  </si>
  <si>
    <t>1. Leave search bar empty
2. Press "enter" key on your keyboard</t>
  </si>
  <si>
    <t>System should show validation error OR no action performed</t>
  </si>
  <si>
    <t>No action was performed</t>
  </si>
  <si>
    <t>QA_TC_SP_007</t>
  </si>
  <si>
    <t>Verify search with only special characters does not redirect user to the "Product Listing" Page</t>
  </si>
  <si>
    <t>@@!$%%%%%%%</t>
  </si>
  <si>
    <t>1. Enter “%%%$$$” 
2. Press "enter" key on your keyboard</t>
  </si>
  <si>
    <t>1. User should not be redirected to the product listing page 
2. System should display “No products found”</t>
  </si>
  <si>
    <t>User was redirected to "Product Listng" page and no validation error was displayed</t>
  </si>
  <si>
    <t>QA_TC_SP_008</t>
  </si>
  <si>
    <t>Verify system handles extremely long search input gracefully</t>
  </si>
  <si>
    <t>aaaaaaaaaaaaaaasssssssddddddddddddddxxxxxxxxxxxxxxxxxqqqxxxxxxxxxxxqxxxqxxxcvvvbbnvnbnrttybjjn</t>
  </si>
  <si>
    <t>1. Enter a string of 100+ character 
2. Press "enter" key on your keyboard</t>
  </si>
  <si>
    <t>System  should handle extreme long search gracefully, displaying “No products found”, no crash</t>
  </si>
  <si>
    <t>QA_TC_SP_009</t>
  </si>
  <si>
    <t>Verify search with non-existing product name</t>
  </si>
  <si>
    <t>"Paracetamol"</t>
  </si>
  <si>
    <t>1. Enter “Paracetamol” in search bar
2. Press "enter" key on your keyboard</t>
  </si>
  <si>
    <t>System should display “No products found”</t>
  </si>
  <si>
    <t>QA_TC_NM_010</t>
  </si>
  <si>
    <t>Navigation Menu</t>
  </si>
  <si>
    <t>Verify cliccking on the "Home" menu redirects user to Home page</t>
  </si>
  <si>
    <t>User is logged in</t>
  </si>
  <si>
    <t>1. Click Home in navigation bar</t>
  </si>
  <si>
    <t>Clicking on the "Home" menu should redirect user to Home page</t>
  </si>
  <si>
    <t>QA_TC_NM_011</t>
  </si>
  <si>
    <t>Verify Products menu redirects user to Products page</t>
  </si>
  <si>
    <t>1. Click Products in navigation bar</t>
  </si>
  <si>
    <t>Clicking on the "Product" menu should redirect user to "All Product" page</t>
  </si>
  <si>
    <t>QA_TC_NM_012</t>
  </si>
  <si>
    <t>Verify Orders menu redirects user to Orders page</t>
  </si>
  <si>
    <t>1. Click Orders in navigation bar</t>
  </si>
  <si>
    <t>Clicking on the "Orders" menu should redirect user to "Orders" page</t>
  </si>
  <si>
    <t>QA_TC_NM_013</t>
  </si>
  <si>
    <t>Verify Admin menu redirects Admin user to Admin Dashboard</t>
  </si>
  <si>
    <t>User is logged in as Admin</t>
  </si>
  <si>
    <t>Admin credentials</t>
  </si>
  <si>
    <t>1. Click "Admin" in navigation bar</t>
  </si>
  <si>
    <t>User should be redirected to the Admin Dashboard successfully</t>
  </si>
  <si>
    <t>QA_TC_NM_014</t>
  </si>
  <si>
    <t>Verify non-Admin user is restricted from accessing Admin Dashboard</t>
  </si>
  <si>
    <t>User is logged in as a normal user</t>
  </si>
  <si>
    <t>1. Click Admin in navigation bar</t>
  </si>
  <si>
    <t>System should display “Access Denied. You don’t have permission to access this page. Admin access required.”</t>
  </si>
  <si>
    <t>QA_TC_NM_015</t>
  </si>
  <si>
    <t>Verify absence of a "Back" button on sub-pages</t>
  </si>
  <si>
    <t>User is on Products or Orders page</t>
  </si>
  <si>
    <t>1. Try to return to previous page without clicking Home</t>
  </si>
  <si>
    <t>Clicking on the "Back" button should navigate user back to the Homepage from the product listing page</t>
  </si>
  <si>
    <t>No dedicated Back button; user must click Home nto navigate back</t>
  </si>
  <si>
    <t>QA_TC_HP_016</t>
  </si>
  <si>
    <t>Home Page Buttons</t>
  </si>
  <si>
    <t>Verify Browse Products button navigates to "All Product" Listing page</t>
  </si>
  <si>
    <t>1. Click "Browse Products" button</t>
  </si>
  <si>
    <t>User should be redirected to the "All Product"Listing page</t>
  </si>
  <si>
    <t>QA_TC_HP_017</t>
  </si>
  <si>
    <t>Verify only logged-in users can access Browse Products page</t>
  </si>
  <si>
    <t>User not logged in</t>
  </si>
  <si>
    <t>1. Try to access "Browse Products"  without logging in</t>
  </si>
  <si>
    <t>System should redirect user to  the Login page</t>
  </si>
  <si>
    <t xml:space="preserve">User was able to access the "Browse Product" page without out loggin in </t>
  </si>
  <si>
    <t>QA_TC_HP_018</t>
  </si>
  <si>
    <t>Verify Testing Docs button redirects to Testing Guide page</t>
  </si>
  <si>
    <t>User is on the Home Page</t>
  </si>
  <si>
    <t>1. Click Testing Docs button</t>
  </si>
  <si>
    <t>User should be redirected to QA Testing Guide page</t>
  </si>
  <si>
    <t>QA_TC_HP_019</t>
  </si>
  <si>
    <t>Verify Testing Guide section is visible on Testing Docs page</t>
  </si>
  <si>
    <t>1. Navigate to Testing Docs page</t>
  </si>
  <si>
    <t>Testing Guide section should bevisible on Testing Docs page</t>
  </si>
  <si>
    <t>QA_TC_HP_020</t>
  </si>
  <si>
    <t>Verify API Documentation section is visible on Testing Docs page</t>
  </si>
  <si>
    <t>Page displays API Documentation section</t>
  </si>
  <si>
    <t>QA_TC_HP_021</t>
  </si>
  <si>
    <t>Verify navigation back from Testing Docs page</t>
  </si>
  <si>
    <t>User is on Testing Docs page</t>
  </si>
  <si>
    <t>1. Look for navigation option (Back/Home)</t>
  </si>
  <si>
    <t>User can return to Home or previous page easily by clicking on the "Home" button</t>
  </si>
  <si>
    <t>QA_TC_FP_022</t>
  </si>
  <si>
    <t>Featured Products</t>
  </si>
  <si>
    <t>Verify Featured Products section is displayed on the Home page</t>
  </si>
  <si>
    <t>1. Navigate to Home Page</t>
  </si>
  <si>
    <t>Featured Products section should be visible on the Home page</t>
  </si>
  <si>
    <t>QA_TC_FP_023</t>
  </si>
  <si>
    <t>Verify Featured Products display product Name, Image, and Price</t>
  </si>
  <si>
    <t xml:space="preserve">1. Navigate to Home Page 
2. Scroll down "Home page" gently </t>
  </si>
  <si>
    <t>Each featured product should show name, image, and price</t>
  </si>
  <si>
    <t>QA_TC_FP_024</t>
  </si>
  <si>
    <t>Verify clicking a Featured product redirects to the Product Detail Page</t>
  </si>
  <si>
    <t xml:space="preserve">"Mascara Waterproof"
</t>
  </si>
  <si>
    <t>1. Click on a featured product</t>
  </si>
  <si>
    <t>User should be directed to the "Product Detail" page</t>
  </si>
  <si>
    <t>QA_TC_FP_025</t>
  </si>
  <si>
    <t>Verify that product rating and reviews are displayed</t>
  </si>
  <si>
    <t>Product has ratings/reviews</t>
  </si>
  <si>
    <t>Kitchen Knife Set ★★★★★ (186)</t>
  </si>
  <si>
    <t>1. Check rating stars &amp; review count under product</t>
  </si>
  <si>
    <t>Rating and review count should be displayed correctly under the product image</t>
  </si>
  <si>
    <t>QA_TC_FP_026</t>
  </si>
  <si>
    <t>Verify that product price is displayed in correct format</t>
  </si>
  <si>
    <t>Product has valid price</t>
  </si>
  <si>
    <t>Kitchen Knife Set → $462.03</t>
  </si>
  <si>
    <t>1. Check product price</t>
  </si>
  <si>
    <t>Price should be displayed with currency and decimals</t>
  </si>
  <si>
    <t>QA_TC_FP_027</t>
  </si>
  <si>
    <t>Verify that “Add to Cart” button is visible and enabled for in-stock products</t>
  </si>
  <si>
    <t>Product stock &gt; 0</t>
  </si>
  <si>
    <t>Yoga Mat Non-Slip (200 left)</t>
  </si>
  <si>
    <t>1. Check product card</t>
  </si>
  <si>
    <t>“Add to Cart” button is visible and enabled</t>
  </si>
  <si>
    <t>QA_TC_FP_028</t>
  </si>
  <si>
    <t>Verify that out-of-stock products are marked correctly</t>
  </si>
  <si>
    <t>Product stock = 0</t>
  </si>
  <si>
    <t>Belt Genuine Leather (Out of Stock)</t>
  </si>
  <si>
    <t>1. Locate out-of-stock product</t>
  </si>
  <si>
    <t>Product card shows “Out of Stock” and no "Add to Cart" option is displayed under products that are out of stock</t>
  </si>
  <si>
    <t>QA_TC_FP_029</t>
  </si>
  <si>
    <t>Verify that clicking “Add to Cart” button on the "Feature Product" page adds the item to cart without redirecting</t>
  </si>
  <si>
    <t>User is on Featured Products page</t>
  </si>
  <si>
    <t>1. Locate a product in stock.
2. Click “Add to Cart”.</t>
  </si>
  <si>
    <t>- Item should be successfully added to cart
- Cart icon/count should update without page redirect</t>
  </si>
  <si>
    <t>"Add to Cart" button is clickable but does not redirect</t>
  </si>
  <si>
    <t>QA_TC_FP_030</t>
  </si>
  <si>
    <t xml:space="preserve">Verify that clicking on  product image redirects to Product Details page </t>
  </si>
  <si>
    <t>Basketball Official Size</t>
  </si>
  <si>
    <t>1. Click on product image</t>
  </si>
  <si>
    <t>User should be redirected to /Products/Sports &amp; Outdoors/Basketball Official Size details page</t>
  </si>
  <si>
    <t>QA_TC_FP_031</t>
  </si>
  <si>
    <t>Verify product image matches product name in Featured Products</t>
  </si>
  <si>
    <t>User on Featured Products page</t>
  </si>
  <si>
    <t>Product Name: Serum Vitamin C
Category: Beauty &amp; Personal Care</t>
  </si>
  <si>
    <t>1. Scroll to Featured Products section.
2. Select a product (e.g., Serum Vitamin C).
3. Compare product name vs image.</t>
  </si>
  <si>
    <t xml:space="preserve">Product image must visually match the product name </t>
  </si>
  <si>
    <t>Product image does not visually match product name (e.g, Serum VItamin C and not Lipstick)</t>
  </si>
  <si>
    <t>QA_TC_FP_032</t>
  </si>
  <si>
    <t>Verify product image matches category type</t>
  </si>
  <si>
    <t>Product Name: Yoga Mat Non-Slip
Category: Sports &amp; Outdoors</t>
  </si>
  <si>
    <t>1. Identify product under Sports &amp; Outdoors.
2. Check image displayed</t>
  </si>
  <si>
    <t>Image should represent product’s category</t>
  </si>
  <si>
    <t>QA_TC_VAP_033</t>
  </si>
  <si>
    <t>View All Products</t>
  </si>
  <si>
    <t>Verify “View All Products” button is visible</t>
  </si>
  <si>
    <t>1. Observed the Featured Product page</t>
  </si>
  <si>
    <t>Button is visible and clearly labeled “View All Products”</t>
  </si>
  <si>
    <t>QA_TC_VAP_034</t>
  </si>
  <si>
    <t>Verify “View All Products” button is clickable and redirects correctly</t>
  </si>
  <si>
    <t>1. Click “View All Products</t>
  </si>
  <si>
    <t>"View All Products" button should be clickable and redirects to "All Product" listing page</t>
  </si>
  <si>
    <t>QA_TC_SBC_035</t>
  </si>
  <si>
    <t>Shop By Category</t>
  </si>
  <si>
    <t>Verify that “Shop by Category” section is displayed below Featured Products</t>
  </si>
  <si>
    <t>1. Scroll down to bottom of Featured Products page</t>
  </si>
  <si>
    <t>Section should be visible with heading “Shop by Category”</t>
  </si>
  <si>
    <t>QA_TC_SBC_036</t>
  </si>
  <si>
    <t>Verify all categories in Featured Products are displayed in Shop by Category section</t>
  </si>
  <si>
    <t>1. Scroll down to Shop by Category section.
2. Compare all product categories from Featured Products with displayed categories.</t>
  </si>
  <si>
    <t>Shop by Category should display all categories displayed in the  Featured Products section.</t>
  </si>
  <si>
    <t>Not all categories  displayed in "Featured Product" section was displayed in the "Shop by Category" section (Beauty &amp; Personal Care", "Toys &amp;Games" were ommitted)</t>
  </si>
  <si>
    <t>QA_TC_SBC_037</t>
  </si>
  <si>
    <t>Verify clicking a category redirects to the category page</t>
  </si>
  <si>
    <t>Category exists in Shop by Category</t>
  </si>
  <si>
    <t>Sports &amp; Outdoors, Electronics, Home &amp; Garden</t>
  </si>
  <si>
    <t>1. Click each category in Shop by Category section.
2. Observe redirect.</t>
  </si>
  <si>
    <t>User should be redirected to category listing page</t>
  </si>
  <si>
    <t>QA_TC_SBC_038</t>
  </si>
  <si>
    <t>Verify that each category has correct icon</t>
  </si>
  <si>
    <t>Categories have associated icons</t>
  </si>
  <si>
    <t>"1. Click each category in Shop by Category section.
2. Observe icons</t>
  </si>
  <si>
    <t>Icons should match category type displayed</t>
  </si>
  <si>
    <t>QA_TC_SBC_039</t>
  </si>
  <si>
    <t>Verify that categories are clickable only via icon/text</t>
  </si>
  <si>
    <t>1. Hover/click outside icons and text box</t>
  </si>
  <si>
    <t>Only icon/text should be clickable, rest of section inactive</t>
  </si>
  <si>
    <r>
      <rPr>
        <rFont val="Arial"/>
        <b/>
        <color theme="1"/>
      </rPr>
      <t>Company's Name:</t>
    </r>
    <r>
      <rPr>
        <rFont val="Arial"/>
        <color theme="1"/>
      </rPr>
      <t xml:space="preserve"> QA TESTCRAFT</t>
    </r>
  </si>
  <si>
    <t>QA_TC_AP_001</t>
  </si>
  <si>
    <t>UI/ VISIBILITY</t>
  </si>
  <si>
    <t xml:space="preserve">Verify page title is displayed correctly
</t>
  </si>
  <si>
    <t>User is on the "All Product"page</t>
  </si>
  <si>
    <t>1. Open All Products page</t>
  </si>
  <si>
    <t>Page title “All Products” should be displayed at the top of the page.</t>
  </si>
  <si>
    <t>QA_TC_AP_002</t>
  </si>
  <si>
    <t xml:space="preserve"> Verify empty state when no products are available
</t>
  </si>
  <si>
    <t>1. Open All Products page.
2. Observe results section</t>
  </si>
  <si>
    <t>Message: “Showing 1 to 0 of 0 products” should be   displayed</t>
  </si>
  <si>
    <t>QA_TC_AP_003</t>
  </si>
  <si>
    <t xml:space="preserve">Verify all filter &amp; sorting controls are visible
</t>
  </si>
  <si>
    <t>1. Open All Products page.
2. Verify presence of search, category, price fields, stock dropdown, sorting, clear filters.</t>
  </si>
  <si>
    <t>All filter &amp; sort controls should be visible and active.</t>
  </si>
  <si>
    <t>QA_TC_AP_004</t>
  </si>
  <si>
    <t>Filter &amp; Search Functionality</t>
  </si>
  <si>
    <t>Verify user can search products by name
in the search field</t>
  </si>
  <si>
    <t>Catalog contains product “Laptop"</t>
  </si>
  <si>
    <t>Search term  “Laptop”</t>
  </si>
  <si>
    <t xml:space="preserve">1. Enter “Laptop” in search field.
2. Press Enter.
</t>
  </si>
  <si>
    <t>Only searched item should be displayed.</t>
  </si>
  <si>
    <t>When searched item  is entered in the searched textbox, clicking the "Enter"button from the device shows no action</t>
  </si>
  <si>
    <t>QA_TC_AP_005</t>
  </si>
  <si>
    <t>Verify that user can filter by category</t>
  </si>
  <si>
    <t xml:space="preserve"> Catalog contains all product iems
</t>
  </si>
  <si>
    <t xml:space="preserve">Category = Electronics
</t>
  </si>
  <si>
    <t>1. Select Electronics in Category dropdown.</t>
  </si>
  <si>
    <t>Only products under Electronics category should be displayed</t>
  </si>
  <si>
    <t>No action occurred</t>
  </si>
  <si>
    <t>QA_TC_AP_006</t>
  </si>
  <si>
    <t xml:space="preserve">Verify user can filter by minimum price
</t>
  </si>
  <si>
    <t xml:space="preserve">Catalog contains products with prices below and above 100.
</t>
  </si>
  <si>
    <t>Enter 100 in Min Price</t>
  </si>
  <si>
    <t xml:space="preserve">1. Enter 100 in Min Price.
</t>
  </si>
  <si>
    <t>Only products with price ≥100 should be displayed</t>
  </si>
  <si>
    <t>A validation message was displayed, "No products was found"</t>
  </si>
  <si>
    <t>QA_TC_AP_007</t>
  </si>
  <si>
    <t>Verify Invalid input in price fields</t>
  </si>
  <si>
    <t>Min Price = “abc”</t>
  </si>
  <si>
    <t>1. Enter “abc” in Min Price.
2. Click Enter</t>
  </si>
  <si>
    <t xml:space="preserve">System should show a validation error. </t>
  </si>
  <si>
    <t>QA_TC_AP_008</t>
  </si>
  <si>
    <t xml:space="preserve">Verify user can enter a Min Price less than 100 </t>
  </si>
  <si>
    <t>Min Price = 50, Max Price = 500</t>
  </si>
  <si>
    <t>1. Enter 50 in Min Price.
2. Enter 500 in Max Price and click Enter</t>
  </si>
  <si>
    <t>Products priced between 50 and 500 are displayed.</t>
  </si>
  <si>
    <t>QA_TC_AP_009</t>
  </si>
  <si>
    <t>Verify user can filter by maximum price</t>
  </si>
  <si>
    <t xml:space="preserve">Catalog contains products below and above 500.
</t>
  </si>
  <si>
    <t>Max Price = 500</t>
  </si>
  <si>
    <t xml:space="preserve">1. Enter 500 in Max Price.
</t>
  </si>
  <si>
    <t>Only products with price &lt;500 should be displayed</t>
  </si>
  <si>
    <t>QA_TC_AP_010</t>
  </si>
  <si>
    <t>Verify user can apply multiple filters</t>
  </si>
  <si>
    <t>Catalog contains Books category with products priced between 50–150.
Steps:</t>
  </si>
  <si>
    <t>Category = Books, Min = 50, Max = 150</t>
  </si>
  <si>
    <t>1. Select Category = Books.
2. Enter Min=50, Max=150.</t>
  </si>
  <si>
    <t>No error is shown.</t>
  </si>
  <si>
    <t>QA_TC_AP_011</t>
  </si>
  <si>
    <t>Verify user can filter by stock status</t>
  </si>
  <si>
    <t xml:space="preserve">Catalog contains both in-stock and out-of-stock items.
</t>
  </si>
  <si>
    <t>Stock Status = In Stock</t>
  </si>
  <si>
    <t>1. Select Stock Status = In Stock.</t>
  </si>
  <si>
    <t>Only in-stock items display.</t>
  </si>
  <si>
    <t>QA_TC_AP_012</t>
  </si>
  <si>
    <t>Verify filter with Min = Max</t>
  </si>
  <si>
    <t>Min Price = 200, Max Price = 200</t>
  </si>
  <si>
    <t>1. Enter 200 in Min Price.
2. Enter 200 in Max Price.
3. Apply filter.</t>
  </si>
  <si>
    <t>Only products priced exactly 200 should be displayed.</t>
  </si>
  <si>
    <t>QA_TC_AP_013</t>
  </si>
  <si>
    <t>Verify error is displayed when Min Price &gt; Max Price</t>
  </si>
  <si>
    <t>Min Price = 600, Max Price = 200</t>
  </si>
  <si>
    <t>1. Enter 600 in Min Price.
2. Enter 200 in Max Price.
3. Apply filter.</t>
  </si>
  <si>
    <t>System should show a validation error: “Minimum price cannot be greater than maximum price."</t>
  </si>
  <si>
    <t>No validation error was displayed to that effect</t>
  </si>
  <si>
    <t>QA_TC_AP_014</t>
  </si>
  <si>
    <t>Verify system behavior when negative numbers are entered</t>
  </si>
  <si>
    <t>Min Price = -100, Max Price = 300</t>
  </si>
  <si>
    <t>1. Enter -100 in Min Price.
2. Enter 300 in Max Price.
3. Click Enter</t>
  </si>
  <si>
    <t>Validation error should show: “Invalid price value.”</t>
  </si>
  <si>
    <t>QA_TC_AP_015</t>
  </si>
  <si>
    <t>Verify system behavior when letters/special characters are entered</t>
  </si>
  <si>
    <t>Min Price = “abc”, Max Price = “$500”</t>
  </si>
  <si>
    <t>Validation error: “Please enter numeric values only should be displayed</t>
  </si>
  <si>
    <t>QA_TC_AP_016</t>
  </si>
  <si>
    <t>Verify user can clear applied filters</t>
  </si>
  <si>
    <t>Filters already applied (e.g., Category=Electronics, Min=100).</t>
  </si>
  <si>
    <t>1. Click Clear Filters.</t>
  </si>
  <si>
    <t>All filters should be reset, all products should be displayed</t>
  </si>
  <si>
    <t>QA_TC_AP_017</t>
  </si>
  <si>
    <t>Sorting Functionality</t>
  </si>
  <si>
    <t>Verify that user can sort by Name Ascending</t>
  </si>
  <si>
    <t>Catalog has products with names A–Z.</t>
  </si>
  <si>
    <t xml:space="preserve">Sort Field = Name, Order = Ascending </t>
  </si>
  <si>
    <t>1. Select Name and Ascending.</t>
  </si>
  <si>
    <t>Products should be sorted out alphabetically A→Z.</t>
  </si>
  <si>
    <t>QA_TC_AP_018</t>
  </si>
  <si>
    <t>Verify User can Sort by Name Descending</t>
  </si>
  <si>
    <t>Sort Field = Name, Order = Desc</t>
  </si>
  <si>
    <t>1. Select Name and Descending.</t>
  </si>
  <si>
    <t>Products sorted alphabetically Z→A (descending order)</t>
  </si>
  <si>
    <t>QA_TC_AP_019</t>
  </si>
  <si>
    <t>Verify User can Sort by Price Ascending</t>
  </si>
  <si>
    <t>Catalog contains items with varying prices.</t>
  </si>
  <si>
    <t>Sort Field = Price, Order = Asc</t>
  </si>
  <si>
    <t>1. Select Price and Ascending.</t>
  </si>
  <si>
    <t>Products sorted from lowest → highest price.</t>
  </si>
  <si>
    <t>QA_TC_AP_20</t>
  </si>
  <si>
    <t>Verify User can Sort by Price Descending</t>
  </si>
  <si>
    <t>Sort Field = Price, Order = Desc</t>
  </si>
  <si>
    <t xml:space="preserve">
1. Select Price and Descending.</t>
  </si>
  <si>
    <t>Products sorted from highest → lowest price.</t>
  </si>
  <si>
    <r>
      <rPr>
        <rFont val="Arial"/>
        <b/>
        <color theme="1"/>
      </rPr>
      <t>Company's Name:</t>
    </r>
    <r>
      <rPr>
        <rFont val="Arial"/>
        <color theme="1"/>
      </rPr>
      <t xml:space="preserve"> QA TESTCRAFT</t>
    </r>
  </si>
  <si>
    <t>Reviewed By:</t>
  </si>
  <si>
    <t>QA_TC_CART_001</t>
  </si>
  <si>
    <t>CART</t>
  </si>
  <si>
    <t>Verify that the cart icon is displayed on homepage</t>
  </si>
  <si>
    <t>User is on the E-Commerce homepage</t>
  </si>
  <si>
    <t>"1. Launch the URL
2. Click on Testing feature
3. Click on  UI Practice from the  Testing feature dropdown.
4.. Click on the E=Commerce feature 
5. Observe the page displayed.</t>
  </si>
  <si>
    <t>Cart icon is visible at the expected location (top right)</t>
  </si>
  <si>
    <t>QA_TC_CART_002</t>
  </si>
  <si>
    <t>Verify cart icon image is correct</t>
  </si>
  <si>
    <t>Cart Icon</t>
  </si>
  <si>
    <t>1. Launch the URL
2. Click on Testing feature
3. Click on  UI Practice from the  Testing feature dropdown.
4.. Click on the E-Commerce feature 
5. Observe the cart icon displayed in the header section"</t>
  </si>
  <si>
    <t>Cart icon should visually represent a shopping cart</t>
  </si>
  <si>
    <t xml:space="preserve">The displayed cart icon is incorrect; it does not visually represent a shopping cart.
</t>
  </si>
  <si>
    <t>QA_TC_CART_003</t>
  </si>
  <si>
    <t>Verify cart icon functionality from the E-Commerce homepage</t>
  </si>
  <si>
    <t>1. Click cart icon on the E-Commerce page</t>
  </si>
  <si>
    <t>Clicking Cart icon should direct user to the "Shopping Cart" page</t>
  </si>
  <si>
    <t>Clicking Cart icon directed  user to the "Shopping Cart" page.</t>
  </si>
  <si>
    <t>QA_TC_CART_004</t>
  </si>
  <si>
    <t>Verify empty cart message displays when no items are added</t>
  </si>
  <si>
    <t>1. Open homepage
2. Click cart icon (with no items added)</t>
  </si>
  <si>
    <t>Page should show “Your cart is empty. Add some products to get started!” with Continue Shopping button</t>
  </si>
  <si>
    <t>QA_TC_CART_005</t>
  </si>
  <si>
    <t>Verify “Continue Shopping” button redirects user correctly</t>
  </si>
  <si>
    <t>- User is on the "Shopping Cart" page
- Cart is empty</t>
  </si>
  <si>
    <t>1. Click "Continue Shopping" button</t>
  </si>
  <si>
    <t>User should be redirected to product listing (Featured Product) page</t>
  </si>
  <si>
    <t>QA_TC_CART_006</t>
  </si>
  <si>
    <t>Verify clicking "Add to Cart" works after Continue Shopping redirection</t>
  </si>
  <si>
    <t>- User is on the "Featured Product" page
- Cart is empty</t>
  </si>
  <si>
    <t>"Jump Rope Weighted"</t>
  </si>
  <si>
    <t xml:space="preserve">1. Click on the "Cart" icon on the E-Commerce page
2. Click "Continue Shopping"
3. On Featured Products page, click "Add to Cart" button under any available product
</t>
  </si>
  <si>
    <t>Product should be added, cart counter  should be updated (e.g., from 0 → 1)</t>
  </si>
  <si>
    <t>Add to Cart button is clickable but product was not added, neither was cart counter updated</t>
  </si>
  <si>
    <t>QA_TC_CART_007</t>
  </si>
  <si>
    <t>Verify cart icon does not update if Add to Cart on Featured Products fails</t>
  </si>
  <si>
    <t>Vacuum Cleaner Robot</t>
  </si>
  <si>
    <t>1. From Featured Products page (after Continue Shopping)
2. Click Add to Cart</t>
  </si>
  <si>
    <t>Cart Icon should not be updated if Add to Cart button on Feature Product fails</t>
  </si>
  <si>
    <t>QA_TC_CART_008</t>
  </si>
  <si>
    <t>Verify out-of-stock item cannot be added  after "Continue Shopping" redirection</t>
  </si>
  <si>
    <t>"- User is on the ""Featured Product"" page
- Cart is empty"</t>
  </si>
  <si>
    <t xml:space="preserve">"Foundation Liquid Makeup"
</t>
  </si>
  <si>
    <t xml:space="preserve">1. Click on the "Cart"icon on the E-Commerce page
2. Click ""Continue Shopping""
3. On Featured Products page, observe the products that are out of stock
</t>
  </si>
  <si>
    <t>Add to Cart button should not be visible on products that are out of stock</t>
  </si>
  <si>
    <t>QA_TC_CART_009</t>
  </si>
  <si>
    <t>Verify clicking product image redirects to Product Details page after clicking o "Continue Shopping"</t>
  </si>
  <si>
    <t>Product image: "Running Shoes Lightweight"
Category: Sports &amp; Outdoors
Stock: 100
Price: $302.34</t>
  </si>
  <si>
    <t>1. From Featured Products (after clicking on "Continue Shopping")
2. Click product image (Running Shoes Lightweight)</t>
  </si>
  <si>
    <t>User should be redirected to "Product Details page"</t>
  </si>
  <si>
    <t>QA_TC_CART_010</t>
  </si>
  <si>
    <t>Verify clicking product name redirects to Product Details page after clicking on  "Continue Shopping"</t>
  </si>
  <si>
    <t>1. From Featured Products (after clicking on "Continue Shopping")
2. Click product name (Running Shoes Lightweight)</t>
  </si>
  <si>
    <t>QA_TC_CART_011</t>
  </si>
  <si>
    <t>Verify" Add to Cart " works correctly on "Product Details" page after clicking on "Continue Shopping"</t>
  </si>
  <si>
    <t>Running Shoes Lightweight</t>
  </si>
  <si>
    <t>1. From Product Details page (Running Shoes Lightweight)
2. Click Add to Cart</t>
  </si>
  <si>
    <t>Cart counter should update from 0 → 1</t>
  </si>
  <si>
    <t>QA_TC_CART_012</t>
  </si>
  <si>
    <t>Verify cart retains added items when navigating back to Cart page</t>
  </si>
  <si>
    <t xml:space="preserve">Product Name: Denim Jeans Classic
</t>
  </si>
  <si>
    <t>1. Add product to cart
2. Click Cart icon
3. Check cart contents</t>
  </si>
  <si>
    <t>Cart should show 1 item added</t>
  </si>
  <si>
    <t>QA_TC_CART_013</t>
  </si>
  <si>
    <t>Verify cart item details (name, price, qty) are displayed correctly after adding</t>
  </si>
  <si>
    <t>User is on the Cart page</t>
  </si>
  <si>
    <t>1. Add product
2. Open Cart page by clicking on the cart icon</t>
  </si>
  <si>
    <t>Cart should display product name, price, stock qty, and subtotal</t>
  </si>
  <si>
    <t>QA_TC_CART_014</t>
  </si>
  <si>
    <t>Verify cart supports multiple different products</t>
  </si>
  <si>
    <t>- Running Shoes (Stock=100)
- Yoga Mat (Stock=200)</t>
  </si>
  <si>
    <t xml:space="preserve">1. Add Running Shoes Lightweight
2. Observe the cart counter update
3. Try adding Yoga Mat Non-Slip
4.  Observe the cart counter update
</t>
  </si>
  <si>
    <t>Cart should show 2 products with details and total</t>
  </si>
  <si>
    <t>Not Applicable as app does not support adding multiple products</t>
  </si>
  <si>
    <t>QA_TC_CART_015</t>
  </si>
  <si>
    <t>Verify cart supports multiple quantities of same product</t>
  </si>
  <si>
    <t xml:space="preserve">1. Bicycle Helmet Safety x9 (stock left = 25)
</t>
  </si>
  <si>
    <t xml:space="preserve">1. Add Bicycle Helmet Safety x0
2. Open Cart page by clicking on the cart icon
</t>
  </si>
  <si>
    <t>Cart shows Helmet x9 with correct subtotal</t>
  </si>
  <si>
    <t>QA_TC_CART_016</t>
  </si>
  <si>
    <t>Verify cart counter updates correctly with multiple products</t>
  </si>
  <si>
    <t>1. Add 2 products (Shoes + Mat)
2. Check counter and cart contents</t>
  </si>
  <si>
    <t>Cart counter icon and page should show the number 2 and items added</t>
  </si>
  <si>
    <t>QA_TC_CART_017</t>
  </si>
  <si>
    <t>Verify cart retains all products when navigating between pages</t>
  </si>
  <si>
    <t>- Running Shoes (Stock=100)</t>
  </si>
  <si>
    <t>1. Add Shoes
2. Navigate to Cart page
3. Continue Shopping
4. Add Mat</t>
  </si>
  <si>
    <t>Cart should show both items</t>
  </si>
  <si>
    <t>Not applicable as cart counter does not retain previously added product when navigating between pages</t>
  </si>
  <si>
    <t>QA_TC_CART_018</t>
  </si>
  <si>
    <t>Verify cart does not update on network failure</t>
  </si>
  <si>
    <t>1.Simulate offline 
2. Click Add to Cart</t>
  </si>
  <si>
    <t>Product should not be added on network ailure</t>
  </si>
  <si>
    <t>QA_TC_PD_019</t>
  </si>
  <si>
    <t>PRODUCT DETAILS</t>
  </si>
  <si>
    <t>Verify product image matches product name</t>
  </si>
  <si>
    <t>User is on Product Detail page</t>
  </si>
  <si>
    <t xml:space="preserve">Product image : Sets of Cooking Pots
Product Name: Vacuum Cleaner Robot
</t>
  </si>
  <si>
    <t>1. Navigate to Vacuum Cleaner Robot details page</t>
  </si>
  <si>
    <t>Image displayed should be a"Vacuum Cleaner Robot"</t>
  </si>
  <si>
    <t>The image displayed was a set of "Cooking Utensils"</t>
  </si>
  <si>
    <t>QA_TC_PD_020</t>
  </si>
  <si>
    <t>Verify product image matches product category</t>
  </si>
  <si>
    <t>"Product image : Sets of cooking pots
Category:Home &amp; Garden"</t>
  </si>
  <si>
    <t>1. Navigate to Vacuum Cleaner Robot details page
2. Compare product image to product category</t>
  </si>
  <si>
    <t>Product image should match product category</t>
  </si>
  <si>
    <t>QA_TC_PD_021</t>
  </si>
  <si>
    <t>Verify product name matches product category</t>
  </si>
  <si>
    <t>"Product name : Vacuum Cleaner Robot
Category:Home &amp; Garden"</t>
  </si>
  <si>
    <t>1. Navigate to Vacuum Cleaner Robot details page
2. Compare product name to product category"</t>
  </si>
  <si>
    <t>Product name should match product category</t>
  </si>
  <si>
    <t>QA_TC_PD_022</t>
  </si>
  <si>
    <t>Verify product image matches description</t>
  </si>
  <si>
    <t>"Product image : Sets of cooking pots</t>
  </si>
  <si>
    <t>1. Navigate to Vacuum Cleaner Robot details page
2. Compare product image to product description</t>
  </si>
  <si>
    <t>Product image should match product  description</t>
  </si>
  <si>
    <t>Product image does not match product  description</t>
  </si>
  <si>
    <t>QA_TC_PD_023</t>
  </si>
  <si>
    <t>Verify product name matches description</t>
  </si>
  <si>
    <t>"Product name : Vacuum Cleaner Robot</t>
  </si>
  <si>
    <t>1. Navigate to Vacuum Cleaner Robot details page
2. Compare product name to product description</t>
  </si>
  <si>
    <t>Product name should match product  description</t>
  </si>
  <si>
    <t>QA_TC_PD_024</t>
  </si>
  <si>
    <t>Verify product rating displays</t>
  </si>
  <si>
    <t>4.7 (117 reviews)</t>
  </si>
  <si>
    <t>1. View rating and reviews</t>
  </si>
  <si>
    <t>Correct rating and review count displayed</t>
  </si>
  <si>
    <t>QA_TC_PD_025</t>
  </si>
  <si>
    <t>Verify product price is displayed</t>
  </si>
  <si>
    <t>1. Open product details page</t>
  </si>
  <si>
    <t xml:space="preserve">Price should be displayed correctly </t>
  </si>
  <si>
    <t>QA_TC_PD_026</t>
  </si>
  <si>
    <t>Verify stock availability displayed</t>
  </si>
  <si>
    <t>150 available</t>
  </si>
  <si>
    <t>Stock availability displayed</t>
  </si>
  <si>
    <t>QA_TC_PD_027</t>
  </si>
  <si>
    <t>Verify stock decreases by 1 when one item is added</t>
  </si>
  <si>
    <t>Qty = 1, Stock = 150</t>
  </si>
  <si>
    <t xml:space="preserve">1. Open Vacuum Cleaner Robot (Stock = 150)
2. Set Qty = 2
3. Click Add to Cart
</t>
  </si>
  <si>
    <t>Stock should update to 149</t>
  </si>
  <si>
    <t>QA_TC_PD_028</t>
  </si>
  <si>
    <t>Verify stock decreases correctly for multiple quantities</t>
  </si>
  <si>
    <t xml:space="preserve">1. Open product (Stock = 150)
2. Set Qty = 30
3. Add to Cart
</t>
  </si>
  <si>
    <t>Stock updates to 120</t>
  </si>
  <si>
    <t>QA_TC_PD_029</t>
  </si>
  <si>
    <t>Verify stock reduces for multiple users adding simultaneously</t>
  </si>
  <si>
    <t>Initial Stock = 150</t>
  </si>
  <si>
    <t xml:space="preserve">1. Add Qty = 2 
2. Observe if Stock decreases
3. Add Qty = 3 again
4.  Observe if Stock decreases
</t>
  </si>
  <si>
    <t>Stock updates 150 → 148 → 145</t>
  </si>
  <si>
    <t>QA_TC_PD_030</t>
  </si>
  <si>
    <t xml:space="preserve"> Verify stock cannot go below the available</t>
  </si>
  <si>
    <t>1. Set Qty = 200 (Stock = 150)
2. Attempt Add to Cart</t>
  </si>
  <si>
    <t>System rejects request; Stock remains 150</t>
  </si>
  <si>
    <t>Verify stock increases back when item removed from cart</t>
  </si>
  <si>
    <t>Initial = 150</t>
  </si>
  <si>
    <t>1. Add Qty = 2 (Stock = 148)
2. Remove item from cart</t>
  </si>
  <si>
    <t>Stock should reset back to 150</t>
  </si>
  <si>
    <t>"Remove/"Delete" feature not available</t>
  </si>
  <si>
    <t>QA_TC_PQ_031</t>
  </si>
  <si>
    <t>PRODUCT QUANTITY</t>
  </si>
  <si>
    <t>Verify user can select product quantity</t>
  </si>
  <si>
    <t>Product Quantity = 5</t>
  </si>
  <si>
    <t>1. Set quantity = 5</t>
  </si>
  <si>
    <t>Quantity should updates correctly</t>
  </si>
  <si>
    <t>QA_TC_PQ_032</t>
  </si>
  <si>
    <t>Verify multiple quantities can be added</t>
  </si>
  <si>
    <t>1. Set quantity = 30 
2, Click Add to Cart</t>
  </si>
  <si>
    <t>30 items should be added to cart</t>
  </si>
  <si>
    <t>QA_TC_PQ_033</t>
  </si>
  <si>
    <t>Verify price calculation for multiple qty</t>
  </si>
  <si>
    <t>Price = $112.67 × 12</t>
  </si>
  <si>
    <t>1.Set qty = 12
2, Click  Add to Cart
3. Check cart total</t>
  </si>
  <si>
    <t>Total should be displayed and = $1,352.04</t>
  </si>
  <si>
    <t>QA_TC_PQ_034</t>
  </si>
  <si>
    <t xml:space="preserve"> Verify invalid quantity number less than 1</t>
  </si>
  <si>
    <t>1. Try enter a number less than 1 in the QTY field</t>
  </si>
  <si>
    <t>Quantity field should not allow number less than 1</t>
  </si>
  <si>
    <t>QA_TC_PQ_035</t>
  </si>
  <si>
    <t xml:space="preserve"> Verify QTY field accepts invalid characters</t>
  </si>
  <si>
    <t>"ABC"</t>
  </si>
  <si>
    <t>1. Try enter an invalid character in the QTY field</t>
  </si>
  <si>
    <t>Quantity field should not accepts invalid characters</t>
  </si>
  <si>
    <t>QA_TC_PQ_036</t>
  </si>
  <si>
    <t>Verify very large input in qty</t>
  </si>
  <si>
    <t>1. Try enter a large input in the QTY field</t>
  </si>
  <si>
    <t>Quantity field should not allow large number input</t>
  </si>
  <si>
    <t>QA_TC_PQ_037</t>
  </si>
  <si>
    <t>Verify quantity field accepts value up to available stock</t>
  </si>
  <si>
    <t>Qty = 150</t>
  </si>
  <si>
    <t>1. Open product with Stock = 150
2. Enter Qty = 150
3. Add to Cart</t>
  </si>
  <si>
    <t>Item should be added successfully; Stock decreases to 0</t>
  </si>
  <si>
    <t>QA_TC_PQ_038</t>
  </si>
  <si>
    <t>Verify QTY field accepts valid 1-digit input</t>
  </si>
  <si>
    <t>Qty = 5</t>
  </si>
  <si>
    <t>1. Open product page
2. Enter Qty = 5
3. Click Add to Cart</t>
  </si>
  <si>
    <t>Item added; Stock decreases accordingly</t>
  </si>
  <si>
    <t>QA_TC_PQ_039</t>
  </si>
  <si>
    <t>Verify QTY field accepts valid 2-digit input</t>
  </si>
  <si>
    <t>Qty = 25</t>
  </si>
  <si>
    <t>1. Enter Qty = 25
2. Add to Cart</t>
  </si>
  <si>
    <t>QA_TC_PQ_040</t>
  </si>
  <si>
    <t xml:space="preserve"> Verify QTY field accepts 3-digit input </t>
  </si>
  <si>
    <t>1. Open product with Stock = 150
2. Enter Qty = 120
3. Add to Cart</t>
  </si>
  <si>
    <t>QTY fields rejects 3-digit input despite stock availabilty =150</t>
  </si>
  <si>
    <t>QA_TC_PQ_041</t>
  </si>
  <si>
    <r>
      <rPr>
        <rFont val="Arial"/>
        <b/>
        <color theme="1"/>
      </rPr>
      <t>Company's Name:</t>
    </r>
    <r>
      <rPr>
        <rFont val="Arial"/>
        <color theme="1"/>
      </rPr>
      <t xml:space="preserve"> QA TESTCRAFT</t>
    </r>
  </si>
  <si>
    <t>QA_TC_WL_001</t>
  </si>
  <si>
    <t>WISHLIST</t>
  </si>
  <si>
    <t>Verify “Add to Wishlist” button is visible</t>
  </si>
  <si>
    <t>User is on the product detail page</t>
  </si>
  <si>
    <t>1. Open Vacuum Cleaner Robot product details page
2. Check for Add to Wishlist button</t>
  </si>
  <si>
    <t>Wishlist button is displayed clearly below/next to Add to Cart bbutton</t>
  </si>
  <si>
    <t>QA_TC_WL_002</t>
  </si>
  <si>
    <t>Verify product is added when button is clicked</t>
  </si>
  <si>
    <t xml:space="preserve">Product ID:
product-47
</t>
  </si>
  <si>
    <t>1. Open product
2. Click Add to Wishlist</t>
  </si>
  <si>
    <t>Product saved to wishlist
Confirmation shown</t>
  </si>
  <si>
    <t>QA_TC_WL_003</t>
  </si>
  <si>
    <t>Verify wishlist icon changes state after click</t>
  </si>
  <si>
    <t>1. Open product
2. Click wishlist
3. Observe icon</t>
  </si>
  <si>
    <t>Icon should toggles</t>
  </si>
  <si>
    <t>QA_TC_WL_004</t>
  </si>
  <si>
    <t>Verify wishlist count updates after adding</t>
  </si>
  <si>
    <t>Count before = 0</t>
  </si>
  <si>
    <t>1. Check wishlist count = 0
2. Add item</t>
  </si>
  <si>
    <t>Count should update to 1</t>
  </si>
  <si>
    <t>QA_TC_WL_005</t>
  </si>
  <si>
    <t>Verify “Add to Wishlist” is consistently visible across products</t>
  </si>
  <si>
    <t>1. Open 5 random product pages
2. Look for wishlist button</t>
  </si>
  <si>
    <t>Button should be displayed on all product detail pages</t>
  </si>
  <si>
    <t>QA_TC_WL_006</t>
  </si>
  <si>
    <t>Verify multiple different products can be added</t>
  </si>
  <si>
    <t xml:space="preserve">1. Add Lip Balm Natural
2. Add Gaming Laptop
3. Add Moisturizer Face Cream
</t>
  </si>
  <si>
    <t>Wishlist should  show all 3 products</t>
  </si>
  <si>
    <t>QA_TC_WL_007</t>
  </si>
  <si>
    <t>Verify product can be moved from wishlist to cart</t>
  </si>
  <si>
    <t>Product ID: VC-150</t>
  </si>
  <si>
    <t>1. Add item to wishlist
2. Open wishlist
3. Click “Move to Cart”</t>
  </si>
  <si>
    <t>Product should be removed from wishlist and added to cart</t>
  </si>
  <si>
    <t>QA_TC_WL_008</t>
  </si>
  <si>
    <t xml:space="preserve"> Verify wishlist does not affect stock count</t>
  </si>
  <si>
    <t>Stock = 18</t>
  </si>
  <si>
    <t>1. Add item to wishlist
2. Refresh stock quantity</t>
  </si>
  <si>
    <t>Stock should remains 150 (wishlist ≠ cart)</t>
  </si>
  <si>
    <t>QA_TC_WL_009</t>
  </si>
  <si>
    <t xml:space="preserve">Verify wishlist limit </t>
  </si>
  <si>
    <t>1. Add 100+ products to wishlist</t>
  </si>
  <si>
    <t>System either accepts all or shows limit message</t>
  </si>
  <si>
    <t xml:space="preserve"> QA_TC_SH_010</t>
  </si>
  <si>
    <t>SHARE</t>
  </si>
  <si>
    <t>Verify “Share” button is visible</t>
  </si>
  <si>
    <t>1. Open product details page
2. Check for Share button</t>
  </si>
  <si>
    <t>Button is displayed clearly (near Wishlist/Cart)</t>
  </si>
  <si>
    <t xml:space="preserve"> QA_TC_SH_011</t>
  </si>
  <si>
    <t>Verify share options are displayed</t>
  </si>
  <si>
    <t>1. Click Share button
2. Observe popup/modal</t>
  </si>
  <si>
    <t>Options like Facebook, Twitter, Email, Copy Link should be displayed</t>
  </si>
  <si>
    <t xml:space="preserve"> QA_TC_SH_012</t>
  </si>
  <si>
    <t>Verify “Copy Link” option copies correct product URL</t>
  </si>
  <si>
    <t>Product: VC-45</t>
  </si>
  <si>
    <t>1. Click Share → Copy Link
2. Paste link into browser</t>
  </si>
  <si>
    <t>Correct product URL should open</t>
  </si>
  <si>
    <t xml:space="preserve"> QA_TC_SH_013</t>
  </si>
  <si>
    <t>Verify sharing redirects correctly to social platform</t>
  </si>
  <si>
    <t>Product: Running Shoes</t>
  </si>
  <si>
    <t>1. Click Share → Facebook</t>
  </si>
  <si>
    <t>User should be able to open Facebook with product link pre-filled</t>
  </si>
  <si>
    <t xml:space="preserve"> QA_TC_SH_014</t>
  </si>
  <si>
    <t>Verify Share button is consistently visible across all product details pages</t>
  </si>
  <si>
    <t xml:space="preserve">1. Open multiple product pages
2. Observe the "Share" button </t>
  </si>
  <si>
    <t>Share button visible across all across all product details pages</t>
  </si>
  <si>
    <r>
      <rPr>
        <rFont val="Arial"/>
        <b/>
        <color theme="1"/>
      </rPr>
      <t>Company's Name:</t>
    </r>
    <r>
      <rPr>
        <rFont val="Arial"/>
        <color theme="1"/>
      </rPr>
      <t xml:space="preserve"> QA TESTCRAFT</t>
    </r>
  </si>
  <si>
    <t>QA_TC_ORD_001</t>
  </si>
  <si>
    <t>ORDER</t>
  </si>
  <si>
    <t>Verify Order menu is visible</t>
  </si>
  <si>
    <t>User is on the E-Commerce page</t>
  </si>
  <si>
    <t>1. Login as registered user
2. Check for Order menu in header</t>
  </si>
  <si>
    <t>Order menu is visible on the E-Commerce</t>
  </si>
  <si>
    <t>QA_TC_ORD_002</t>
  </si>
  <si>
    <t>Verify Order page is clickable and redirects correctly</t>
  </si>
  <si>
    <t>1. Click Order menu</t>
  </si>
  <si>
    <t>Clicking on "Order" menu should redirect user to the "Order history" page</t>
  </si>
  <si>
    <t>QA_TC_OH_003</t>
  </si>
  <si>
    <t>ORDER HISTORY</t>
  </si>
  <si>
    <t>Verify Order History section is visible on user dashboard</t>
  </si>
  <si>
    <t>User is on the "Order History" page</t>
  </si>
  <si>
    <t>1. Click on Oder menu
2. Observe the Order History</t>
  </si>
  <si>
    <t>Order History header visible: “Track your orders and view purchase history”</t>
  </si>
  <si>
    <t>QA_TC_OH_004</t>
  </si>
  <si>
    <t>Verify tabs are visible</t>
  </si>
  <si>
    <t>1. Observe all tabs/filter displayed for All Orders, Pending Payment, Order Confirmed, Processing, Shipped, Delivered, Cancelled, Refunded</t>
  </si>
  <si>
    <t>All tabs/filters visible and labeled correctly</t>
  </si>
  <si>
    <t>QA_TC_OH_005</t>
  </si>
  <si>
    <t xml:space="preserve"> Verify system handles empty order history</t>
  </si>
  <si>
    <t>1. Login as user with no orders</t>
  </si>
  <si>
    <t>A validation message should be displayed: “No orders yet”</t>
  </si>
  <si>
    <t>QA_TC_AO_006</t>
  </si>
  <si>
    <t>ALL ORDER</t>
  </si>
  <si>
    <t>Verify “All Orders” is clickable</t>
  </si>
  <si>
    <t>1. Click "All Order"</t>
  </si>
  <si>
    <t>"All Order" button should be clickable</t>
  </si>
  <si>
    <t>QA_TC_AO_007</t>
  </si>
  <si>
    <t>Verify “All Orders” displays all user orders</t>
  </si>
  <si>
    <t xml:space="preserve">- Building Blocks Creative Set
- Non-Stick Cooking Pan
- Perfume Eau de Parfum
</t>
  </si>
  <si>
    <t>1. Click on "All Order" button
2. Observe behaviour</t>
  </si>
  <si>
    <t>"All should display list of user orders</t>
  </si>
  <si>
    <t>Clicking on "All Order" button displayed an error message "Error Loading Orders
Your session has expired. Please login again.
Try Again"</t>
  </si>
  <si>
    <t>QA_TC_AO_008</t>
  </si>
  <si>
    <t>Verify clicking an order shows order details</t>
  </si>
  <si>
    <t>1. Click on order ID</t>
  </si>
  <si>
    <t>Clicking on an order should show product, quantity, price, status</t>
  </si>
  <si>
    <t>QA_TC_AO_009</t>
  </si>
  <si>
    <t>Verify orders sorted by date (newest first)</t>
  </si>
  <si>
    <t>1. Open All Orders tab</t>
  </si>
  <si>
    <t>Latest order should be shown at top</t>
  </si>
  <si>
    <t>QA_TC_AO_010</t>
  </si>
  <si>
    <t>Verify total amount displayed for each order</t>
  </si>
  <si>
    <t xml:space="preserve">- Non-Stick Cooking Pan
- Perfume Eau de Parfum
</t>
  </si>
  <si>
    <t>1. Check order list</t>
  </si>
  <si>
    <t>Correct total shown per order</t>
  </si>
  <si>
    <t>QA_TC_AO_011</t>
  </si>
  <si>
    <t xml:space="preserve"> Verify system handles very large order lists</t>
  </si>
  <si>
    <t>100+ orders</t>
  </si>
  <si>
    <t>1. Place 100 orders 
2. Click on  All Orders</t>
  </si>
  <si>
    <t>Orders displayed correctly; pagination works</t>
  </si>
  <si>
    <t>QA_TC_AO_012</t>
  </si>
  <si>
    <t>Verify order with large quantity &gt;99</t>
  </si>
  <si>
    <t xml:space="preserve">- Running Shoes (Stock=150)
</t>
  </si>
  <si>
    <t>1. Click on a product
2. Increase QTY to 150</t>
  </si>
  <si>
    <t>Order should show correct quantity and total</t>
  </si>
  <si>
    <t>QA_TC_PP_013</t>
  </si>
  <si>
    <t>PENDING PAYMENT</t>
  </si>
  <si>
    <t>Verify Pending Payment tab is visible</t>
  </si>
  <si>
    <t>1. Click on Order menu from the E-Commerce page
2. Observe the displayed tabs on the 'Order History" page</t>
  </si>
  <si>
    <t>Pending Payment Tab should be visible and clickable</t>
  </si>
  <si>
    <t>QA_TC_PP_014</t>
  </si>
  <si>
    <t>Verify order list columns are visible</t>
  </si>
  <si>
    <t>User is on the "Pending Payment" page</t>
  </si>
  <si>
    <t>1.Check Order ID, Product, Qty, Price, Payment Status, Due Date</t>
  </si>
  <si>
    <t>All columns should display correctly</t>
  </si>
  <si>
    <t>QA_TC_PP_015</t>
  </si>
  <si>
    <t>Verify only orders with pending payment are shown</t>
  </si>
  <si>
    <t>1. Click on Pending Payment tab</t>
  </si>
  <si>
    <t>Only pending payment orders should be  listed</t>
  </si>
  <si>
    <t>QA_TC_PP_016</t>
  </si>
  <si>
    <t>Verify payment button is displayed</t>
  </si>
  <si>
    <t>1. Click on Order details</t>
  </si>
  <si>
    <t>Button “Pay Now” should be visible</t>
  </si>
  <si>
    <t>QA_TC_PP_017</t>
  </si>
  <si>
    <t>Verify payment process completes successfully</t>
  </si>
  <si>
    <t>1. Click “Pay Now” 
2. Click on "Complete Payment"</t>
  </si>
  <si>
    <t xml:space="preserve">Order status should change to “Confirmed” </t>
  </si>
  <si>
    <t>QA_TC_PP_018</t>
  </si>
  <si>
    <t>Verify order status updates in All Orders page after payment</t>
  </si>
  <si>
    <t>User is on "Order History" page</t>
  </si>
  <si>
    <t>1. From "order History" page click on "All Order"</t>
  </si>
  <si>
    <t>Status in All Orders tab should be updated to “Confirmed”</t>
  </si>
  <si>
    <t>QA_TC_PP_019</t>
  </si>
  <si>
    <t>Verify reminder/notification for pending payment</t>
  </si>
  <si>
    <t>Orders with due date</t>
  </si>
  <si>
    <t>1. Click on  "Pending Payment" tab</t>
  </si>
  <si>
    <t>Notification/reminder should be displayed for unpaid orders</t>
  </si>
  <si>
    <t>QA_TC_PP_020</t>
  </si>
  <si>
    <t>Verify that user cannot pay with invalid payment info</t>
  </si>
  <si>
    <t>Invalid card number</t>
  </si>
  <si>
    <t>1. Click Pay Now 
2. Enter wrong card info</t>
  </si>
  <si>
    <t>Payment should fail and an error message should be displayed, prompting the user to enter a valid card details</t>
  </si>
  <si>
    <t>QA_TC_PP_021</t>
  </si>
  <si>
    <t>Verify payment can not be made when network is down</t>
  </si>
  <si>
    <t>1. Disconnect network
2. Click Pay Now</t>
  </si>
  <si>
    <t>Payment should not be processed, an error message should be displayed showing,"Network/Connection error"</t>
  </si>
  <si>
    <t>QA_TC_PP_022</t>
  </si>
  <si>
    <t xml:space="preserve"> Verify session expiry during payment</t>
  </si>
  <si>
    <t>1. Click on the "Pending Payment" tab
2. Allow it to be inactive for 5mins
3. Click "Pay Now"</t>
  </si>
  <si>
    <t>A validation message should be displayed, showing "Session expired"; Usershould be redirect to login</t>
  </si>
  <si>
    <t>QA_TC_PP_023</t>
  </si>
  <si>
    <t>Verify order disappears from Pending Payment if already paid</t>
  </si>
  <si>
    <t>1. Click on "Pay Now"
2. Refresh the page,or logout and login again</t>
  </si>
  <si>
    <t>System refresh should show order has been removed from Pending Payment</t>
  </si>
  <si>
    <t>QA_TC_OC_024</t>
  </si>
  <si>
    <t>ORDER CONFIRMED</t>
  </si>
  <si>
    <t>Verify Order Confirmed tab is visible</t>
  </si>
  <si>
    <t>1. Login 
2. Click on "Order" menu from the E-Commerce dashboard
3.On the "Order History" page, Check tabs</t>
  </si>
  <si>
    <t>Tab visible and clickable</t>
  </si>
  <si>
    <t>QA_TC_OC_025</t>
  </si>
  <si>
    <t>Verify that clicking on "order confirmed" redirects correctly</t>
  </si>
  <si>
    <t>1. Login 
2. Click on "Order" menu from the E-Commerce dashboard
3.On the "Order History" page, click on "order confirmed" button</t>
  </si>
  <si>
    <t>Clicking on "Order Confirmed" button should redirect correctly</t>
  </si>
  <si>
    <t xml:space="preserve">An error message was displayed, showing: "Error Loading Orders
Your session has expired. Please login again.Try Again" upon Clicking on "Order Confirmed" button </t>
  </si>
  <si>
    <t>QA_TC_OC_026</t>
  </si>
  <si>
    <t>Verify order list columns are visible on the "order confirmed" page</t>
  </si>
  <si>
    <t>User is on the "Order Confirmed" page</t>
  </si>
  <si>
    <t>1. Click on "order confirmed" tab
2. Check Order ID, Product Name, Qty, Price, Status, Date</t>
  </si>
  <si>
    <t>QA_TC_OC_027</t>
  </si>
  <si>
    <t>Verify only confirmed orders are displayed</t>
  </si>
  <si>
    <t>Multiple orders (Pending, Confirmed, Shipped)</t>
  </si>
  <si>
    <t>1.Open Order Confirmed tab</t>
  </si>
  <si>
    <t>Only confirmed orders should be listed</t>
  </si>
  <si>
    <t>QA_TC_OC_028</t>
  </si>
  <si>
    <t>Verify clicking an order opens order details</t>
  </si>
  <si>
    <t>1. Click Order ID</t>
  </si>
  <si>
    <t>Order details page should open and display order details correctly</t>
  </si>
  <si>
    <t>QA_TC_OC_029</t>
  </si>
  <si>
    <t>Verify order details match confirmed information</t>
  </si>
  <si>
    <t>1. Click order 
2. View details</t>
  </si>
  <si>
    <t>Product, quantity, price, payment info should match correctly</t>
  </si>
  <si>
    <t>QA_TC_OC_030</t>
  </si>
  <si>
    <t>Verify notifications for confirmed orders</t>
  </si>
  <si>
    <t>User is on the "View Order " page</t>
  </si>
  <si>
    <t>Confirmed orders</t>
  </si>
  <si>
    <t>A notification should be sent, displaying: “Your order is confirmed”</t>
  </si>
  <si>
    <t>Verify that user cannot  modify confirmed order</t>
  </si>
  <si>
    <t>Order ID:OC-015</t>
  </si>
  <si>
    <t>1. Attempt changing quantity or product</t>
  </si>
  <si>
    <t>- Systemshould prevent modification 
- Display an error message showing that "quantity"/"product" cannot be modified</t>
  </si>
  <si>
    <t xml:space="preserve">Verify that user cannot  cancel confirmed order </t>
  </si>
  <si>
    <t>1. Click Cancel</t>
  </si>
  <si>
    <t>"- System should prevent cancellation
- Display an error message showing that " confirmed orders cannot be cancelled"</t>
  </si>
  <si>
    <t>Verify session expires while viewing confirmed orders</t>
  </si>
  <si>
    <t>1. Click on "Confirm order" button from the "Order History" page
2. View the list of cormed orders for 5mins</t>
  </si>
  <si>
    <t>Session expired message should be displayed and redirect user to the login 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</si>
</sst>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color theme="1"/>
      <name val="Arial"/>
      <scheme val="minor"/>
    </font>
    <font>
      <b/>
      <color theme="1"/>
      <name val="Arial"/>
    </font>
    <font>
      <b/>
      <color theme="1"/>
      <name val="Arial"/>
      <scheme val="minor"/>
    </font>
    <font/>
    <font>
      <color theme="1"/>
      <name val="Arial"/>
    </font>
    <font>
      <u/>
      <color rgb="FF0000FF"/>
    </font>
    <font>
      <b/>
      <sz val="13.0"/>
      <color theme="1"/>
      <name val="Arial"/>
      <scheme val="minor"/>
    </font>
    <font>
      <b/>
      <sz val="18.0"/>
      <color theme="1"/>
      <name val="Arial"/>
      <scheme val="minor"/>
    </font>
    <font>
      <color rgb="FF000000"/>
      <name val="Arial"/>
      <scheme val="minor"/>
    </font>
    <font>
      <color theme="1"/>
      <name val="Roboto"/>
    </font>
    <font>
      <b/>
      <color rgb="FF666666"/>
      <name val="Arial"/>
      <scheme val="minor"/>
    </font>
    <font>
      <b/>
      <color rgb="FF000000"/>
      <name val="Arial"/>
      <scheme val="minor"/>
    </font>
  </fonts>
  <fills count="8">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rgb="FFB7B7B7"/>
        <bgColor rgb="FFB7B7B7"/>
      </patternFill>
    </fill>
    <fill>
      <patternFill patternType="solid">
        <fgColor rgb="FFFF9900"/>
        <bgColor rgb="FFFF990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readingOrder="0"/>
    </xf>
    <xf borderId="1" fillId="0" fontId="2" numFmtId="0" xfId="0" applyAlignment="1" applyBorder="1" applyFont="1">
      <alignment vertical="bottom"/>
    </xf>
    <xf borderId="2" fillId="0" fontId="3" numFmtId="0" xfId="0" applyAlignment="1" applyBorder="1" applyFont="1">
      <alignment horizontal="center" readingOrder="0"/>
    </xf>
    <xf borderId="3" fillId="0" fontId="4" numFmtId="0" xfId="0" applyBorder="1" applyFont="1"/>
    <xf borderId="1" fillId="0" fontId="3" numFmtId="0" xfId="0" applyAlignment="1" applyBorder="1" applyFont="1">
      <alignment readingOrder="0"/>
    </xf>
    <xf borderId="1" fillId="2" fontId="5" numFmtId="0" xfId="0" applyAlignment="1" applyBorder="1" applyFill="1" applyFont="1">
      <alignment vertical="bottom"/>
    </xf>
    <xf borderId="1" fillId="0" fontId="2" numFmtId="0" xfId="0" applyAlignment="1" applyBorder="1" applyFont="1">
      <alignment horizontal="right" vertical="bottom"/>
    </xf>
    <xf borderId="1" fillId="0" fontId="5" numFmtId="0" xfId="0" applyAlignment="1" applyBorder="1" applyFont="1">
      <alignment horizontal="right" vertical="bottom"/>
    </xf>
    <xf borderId="1" fillId="0" fontId="3" numFmtId="0" xfId="0" applyBorder="1" applyFont="1"/>
    <xf borderId="1" fillId="3" fontId="5" numFmtId="0" xfId="0" applyAlignment="1" applyBorder="1" applyFill="1" applyFont="1">
      <alignment vertical="bottom"/>
    </xf>
    <xf borderId="1" fillId="4" fontId="5" numFmtId="0" xfId="0" applyAlignment="1" applyBorder="1" applyFill="1" applyFont="1">
      <alignment vertical="bottom"/>
    </xf>
    <xf borderId="1" fillId="5" fontId="5" numFmtId="0" xfId="0" applyAlignment="1" applyBorder="1" applyFill="1" applyFont="1">
      <alignment vertical="bottom"/>
    </xf>
    <xf borderId="1" fillId="6" fontId="3" numFmtId="0" xfId="0" applyAlignment="1" applyBorder="1" applyFill="1" applyFont="1">
      <alignment readingOrder="0" vertical="top"/>
    </xf>
    <xf borderId="1" fillId="6" fontId="3" numFmtId="0" xfId="0" applyAlignment="1" applyBorder="1" applyFont="1">
      <alignment readingOrder="0" shrinkToFit="0" vertical="top" wrapText="1"/>
    </xf>
    <xf borderId="1" fillId="0" fontId="3" numFmtId="0" xfId="0" applyAlignment="1" applyBorder="1" applyFont="1">
      <alignment readingOrder="0" vertical="top"/>
    </xf>
    <xf borderId="1" fillId="0" fontId="1" numFmtId="0" xfId="0" applyAlignment="1" applyBorder="1" applyFont="1">
      <alignment readingOrder="0" shrinkToFit="0" vertical="top" wrapText="1"/>
    </xf>
    <xf borderId="1" fillId="0" fontId="1" numFmtId="0" xfId="0" applyAlignment="1" applyBorder="1" applyFont="1">
      <alignment readingOrder="0" vertical="top"/>
    </xf>
    <xf borderId="1" fillId="0" fontId="6" numFmtId="0" xfId="0" applyAlignment="1" applyBorder="1" applyFont="1">
      <alignment readingOrder="0" shrinkToFit="0" vertical="top" wrapText="1"/>
    </xf>
    <xf borderId="1" fillId="7" fontId="3" numFmtId="0" xfId="0" applyAlignment="1" applyBorder="1" applyFill="1" applyFont="1">
      <alignment readingOrder="0" vertical="top"/>
    </xf>
    <xf borderId="1" fillId="0" fontId="1" numFmtId="0" xfId="0" applyAlignment="1" applyBorder="1" applyFont="1">
      <alignment vertical="top"/>
    </xf>
    <xf borderId="1" fillId="0" fontId="1" numFmtId="0" xfId="0" applyAlignment="1" applyBorder="1" applyFont="1">
      <alignment shrinkToFit="0" vertical="top" wrapText="1"/>
    </xf>
    <xf borderId="0" fillId="0" fontId="1" numFmtId="0" xfId="0" applyAlignment="1" applyFont="1">
      <alignment readingOrder="0" shrinkToFit="0" wrapText="1"/>
    </xf>
    <xf borderId="0" fillId="0" fontId="1" numFmtId="0" xfId="0" applyAlignment="1" applyFont="1">
      <alignment shrinkToFit="0" wrapText="1"/>
    </xf>
    <xf borderId="1" fillId="0" fontId="3" numFmtId="0" xfId="0" applyAlignment="1" applyBorder="1" applyFont="1">
      <alignment vertical="top"/>
    </xf>
    <xf borderId="1" fillId="7" fontId="3" numFmtId="0" xfId="0" applyAlignment="1" applyBorder="1" applyFont="1">
      <alignment readingOrder="0" shrinkToFit="0" vertical="top" wrapText="1"/>
    </xf>
    <xf borderId="1" fillId="7" fontId="3" numFmtId="0" xfId="0" applyBorder="1" applyFont="1"/>
    <xf borderId="1" fillId="0" fontId="3" numFmtId="0" xfId="0" applyAlignment="1" applyBorder="1" applyFont="1">
      <alignment readingOrder="0" shrinkToFit="0" vertical="top" wrapText="1"/>
    </xf>
    <xf borderId="4" fillId="0" fontId="7" numFmtId="0" xfId="0" applyAlignment="1" applyBorder="1" applyFont="1">
      <alignment readingOrder="0" shrinkToFit="0" textRotation="45" vertical="top" wrapText="1"/>
    </xf>
    <xf borderId="5" fillId="0" fontId="4" numFmtId="0" xfId="0" applyBorder="1" applyFont="1"/>
    <xf borderId="6" fillId="0" fontId="4" numFmtId="0" xfId="0" applyBorder="1" applyFont="1"/>
    <xf borderId="0" fillId="0" fontId="1" numFmtId="0" xfId="0" applyAlignment="1" applyFont="1">
      <alignment readingOrder="0" vertical="top"/>
    </xf>
    <xf borderId="0" fillId="0" fontId="1" numFmtId="0" xfId="0" applyAlignment="1" applyFont="1">
      <alignment readingOrder="0" shrinkToFit="0" vertical="top" wrapText="1"/>
    </xf>
    <xf borderId="4" fillId="0" fontId="7" numFmtId="0" xfId="0" applyAlignment="1" applyBorder="1" applyFont="1">
      <alignment readingOrder="0" textRotation="45" vertical="top"/>
    </xf>
    <xf borderId="0" fillId="0" fontId="5" numFmtId="0" xfId="0" applyFont="1"/>
    <xf borderId="1" fillId="0" fontId="2" numFmtId="0" xfId="0" applyAlignment="1" applyBorder="1" applyFont="1">
      <alignment horizontal="right" readingOrder="0" vertical="bottom"/>
    </xf>
    <xf borderId="4" fillId="0" fontId="7" numFmtId="0" xfId="0" applyAlignment="1" applyBorder="1" applyFont="1">
      <alignment readingOrder="0" textRotation="45" vertical="center"/>
    </xf>
    <xf borderId="1" fillId="0" fontId="1" numFmtId="0" xfId="0" applyAlignment="1" applyBorder="1" applyFont="1">
      <alignment readingOrder="0" shrinkToFit="0" wrapText="1"/>
    </xf>
    <xf borderId="4" fillId="0" fontId="1" numFmtId="0" xfId="0" applyBorder="1" applyFont="1"/>
    <xf borderId="4" fillId="0" fontId="7" numFmtId="0" xfId="0" applyAlignment="1" applyBorder="1" applyFont="1">
      <alignment readingOrder="0" textRotation="45"/>
    </xf>
    <xf borderId="4" fillId="0" fontId="3" numFmtId="0" xfId="0" applyAlignment="1" applyBorder="1" applyFont="1">
      <alignment horizontal="center" readingOrder="0" textRotation="45" vertical="center"/>
    </xf>
    <xf borderId="4" fillId="0" fontId="3" numFmtId="0" xfId="0" applyAlignment="1" applyBorder="1" applyFont="1">
      <alignment readingOrder="0" shrinkToFit="0" textRotation="45" vertical="center" wrapText="0"/>
    </xf>
    <xf borderId="1" fillId="0" fontId="1" numFmtId="0" xfId="0" applyAlignment="1" applyBorder="1" applyFont="1">
      <alignment horizontal="left" readingOrder="0" shrinkToFit="0" wrapText="1"/>
    </xf>
    <xf borderId="1" fillId="0" fontId="5"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readingOrder="0" vertical="bottom"/>
    </xf>
    <xf borderId="4" fillId="0" fontId="3" numFmtId="0" xfId="0" applyAlignment="1" applyBorder="1" applyFont="1">
      <alignment horizontal="center" readingOrder="0" textRotation="45" vertical="top"/>
    </xf>
    <xf borderId="0" fillId="0" fontId="1" numFmtId="0" xfId="0" applyAlignment="1" applyFont="1">
      <alignment horizontal="center" readingOrder="0" textRotation="45" vertical="top"/>
    </xf>
    <xf borderId="1" fillId="0" fontId="5" numFmtId="0" xfId="0" applyAlignment="1" applyBorder="1" applyFont="1">
      <alignment vertical="top"/>
    </xf>
    <xf borderId="1" fillId="6" fontId="3" numFmtId="0" xfId="0" applyAlignment="1" applyBorder="1" applyFont="1">
      <alignment horizontal="left" readingOrder="0" shrinkToFit="0" vertical="top" wrapText="1"/>
    </xf>
    <xf borderId="1" fillId="0" fontId="3" numFmtId="0" xfId="0" applyAlignment="1" applyBorder="1" applyFont="1">
      <alignment horizontal="left" readingOrder="0" vertical="top"/>
    </xf>
    <xf borderId="4" fillId="0" fontId="8" numFmtId="0" xfId="0" applyAlignment="1" applyBorder="1" applyFont="1">
      <alignment horizontal="left" readingOrder="0" textRotation="45" vertical="top"/>
    </xf>
    <xf borderId="1" fillId="0" fontId="1" numFmtId="0" xfId="0" applyAlignment="1" applyBorder="1" applyFont="1">
      <alignment horizontal="left" readingOrder="0" shrinkToFit="0" vertical="top" wrapText="1"/>
    </xf>
    <xf borderId="1" fillId="0" fontId="1" numFmtId="0" xfId="0" applyAlignment="1" applyBorder="1" applyFont="1">
      <alignment horizontal="left" vertical="top"/>
    </xf>
    <xf borderId="1" fillId="0" fontId="1" numFmtId="0" xfId="0" applyAlignment="1" applyBorder="1" applyFont="1">
      <alignment horizontal="left" readingOrder="0" vertical="top"/>
    </xf>
    <xf borderId="1" fillId="0" fontId="9"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4" fillId="0" fontId="1" numFmtId="0" xfId="0" applyAlignment="1" applyBorder="1" applyFont="1">
      <alignment horizontal="left" vertical="top"/>
    </xf>
    <xf borderId="4" fillId="0" fontId="7" numFmtId="0" xfId="0" applyAlignment="1" applyBorder="1" applyFont="1">
      <alignment readingOrder="0" shrinkToFit="0" textRotation="45" vertical="center" wrapText="1"/>
    </xf>
    <xf borderId="1" fillId="0" fontId="1" numFmtId="0" xfId="0" applyAlignment="1" applyBorder="1" applyFont="1">
      <alignment readingOrder="0" shrinkToFit="0" textRotation="0" wrapText="1"/>
    </xf>
    <xf borderId="1" fillId="0" fontId="10" numFmtId="0" xfId="0" applyAlignment="1" applyBorder="1" applyFont="1">
      <alignment readingOrder="0" shrinkToFit="0" wrapText="1"/>
    </xf>
    <xf borderId="1" fillId="0" fontId="1" numFmtId="164" xfId="0" applyAlignment="1" applyBorder="1" applyFont="1" applyNumberFormat="1">
      <alignment horizontal="left" readingOrder="0"/>
    </xf>
    <xf borderId="1" fillId="0" fontId="7" numFmtId="0" xfId="0" applyAlignment="1" applyBorder="1" applyFont="1">
      <alignment readingOrder="0" textRotation="45"/>
    </xf>
    <xf borderId="1" fillId="0" fontId="1" numFmtId="0" xfId="0" applyAlignment="1" applyBorder="1" applyFont="1">
      <alignment horizontal="left" readingOrder="0"/>
    </xf>
    <xf borderId="1" fillId="0" fontId="11" numFmtId="0" xfId="0" applyAlignment="1" applyBorder="1" applyFont="1">
      <alignment readingOrder="0" vertical="top"/>
    </xf>
    <xf borderId="1" fillId="0" fontId="12" numFmtId="0" xfId="0" applyAlignment="1" applyBorder="1" applyFont="1">
      <alignment readingOrder="0" vertical="top"/>
    </xf>
    <xf borderId="0" fillId="0" fontId="1" numFmtId="0" xfId="0" applyAlignment="1" applyFont="1">
      <alignment vertical="top"/>
    </xf>
    <xf borderId="1" fillId="0" fontId="2" numFmtId="0" xfId="0" applyAlignment="1" applyBorder="1" applyFont="1">
      <alignment vertical="top"/>
    </xf>
    <xf borderId="2" fillId="0" fontId="3" numFmtId="0" xfId="0" applyAlignment="1" applyBorder="1" applyFont="1">
      <alignment horizontal="center" readingOrder="0" vertical="top"/>
    </xf>
    <xf borderId="1" fillId="2" fontId="5" numFmtId="0" xfId="0" applyAlignment="1" applyBorder="1" applyFont="1">
      <alignment vertical="top"/>
    </xf>
    <xf borderId="1" fillId="0" fontId="2" numFmtId="0" xfId="0" applyAlignment="1" applyBorder="1" applyFont="1">
      <alignment horizontal="right" readingOrder="0" vertical="top"/>
    </xf>
    <xf borderId="1" fillId="0" fontId="5" numFmtId="0" xfId="0" applyAlignment="1" applyBorder="1" applyFont="1">
      <alignment horizontal="right" vertical="top"/>
    </xf>
    <xf borderId="1" fillId="3" fontId="5" numFmtId="0" xfId="0" applyAlignment="1" applyBorder="1" applyFont="1">
      <alignment vertical="top"/>
    </xf>
    <xf borderId="1" fillId="4" fontId="5" numFmtId="0" xfId="0" applyAlignment="1" applyBorder="1" applyFont="1">
      <alignment vertical="top"/>
    </xf>
    <xf borderId="1" fillId="5" fontId="5" numFmtId="0" xfId="0" applyAlignment="1" applyBorder="1" applyFont="1">
      <alignment vertical="top"/>
    </xf>
    <xf borderId="1" fillId="0" fontId="2" numFmtId="0" xfId="0" applyAlignment="1" applyBorder="1" applyFont="1">
      <alignment horizontal="right" vertical="top"/>
    </xf>
    <xf borderId="1" fillId="0" fontId="5" numFmtId="0" xfId="0" applyAlignment="1" applyBorder="1" applyFont="1">
      <alignment shrinkToFit="0" vertical="top" wrapText="1"/>
    </xf>
    <xf borderId="1" fillId="2" fontId="2" numFmtId="0" xfId="0" applyAlignment="1" applyBorder="1" applyFont="1">
      <alignment vertical="top"/>
    </xf>
    <xf borderId="1" fillId="3" fontId="2" numFmtId="0" xfId="0" applyAlignment="1" applyBorder="1" applyFont="1">
      <alignment vertical="top"/>
    </xf>
    <xf borderId="1" fillId="0" fontId="5" numFmtId="0" xfId="0" applyAlignment="1" applyBorder="1" applyFont="1">
      <alignment readingOrder="0" shrinkToFit="0" vertical="top" wrapText="1"/>
    </xf>
    <xf borderId="1" fillId="0" fontId="5" numFmtId="0" xfId="0" applyAlignment="1" applyBorder="1" applyFont="1">
      <alignment readingOrder="0" vertical="top"/>
    </xf>
  </cellXfs>
  <cellStyles count="1">
    <cellStyle xfId="0" name="Normal" builtinId="0"/>
  </cellStyles>
  <dxfs count="6">
    <dxf>
      <font/>
      <fill>
        <patternFill patternType="solid">
          <fgColor rgb="FF00FF00"/>
          <bgColor rgb="FF00FF00"/>
        </patternFill>
      </fill>
      <border/>
    </dxf>
    <dxf>
      <font/>
      <fill>
        <patternFill patternType="solid">
          <fgColor rgb="FFFF0000"/>
          <bgColor rgb="FFFF0000"/>
        </patternFill>
      </fill>
      <border/>
    </dxf>
    <dxf>
      <font/>
      <fill>
        <patternFill patternType="solid">
          <fgColor rgb="FF4A86E8"/>
          <bgColor rgb="FF4A86E8"/>
        </patternFill>
      </fill>
      <border/>
    </dxf>
    <dxf>
      <font/>
      <fill>
        <patternFill patternType="solid">
          <fgColor rgb="FFB7B7B7"/>
          <bgColor rgb="FFB7B7B7"/>
        </patternFill>
      </fill>
      <border/>
    </dxf>
    <dxf>
      <font/>
      <fill>
        <patternFill patternType="solid">
          <fgColor rgb="FF0000FF"/>
          <bgColor rgb="FF0000FF"/>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qatescraft.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bc.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3" width="23.88"/>
    <col customWidth="1" min="4" max="4" width="22.13"/>
    <col customWidth="1" min="5" max="5" width="27.63"/>
    <col customWidth="1" min="6" max="6" width="21.5"/>
    <col customWidth="1" min="7" max="7" width="16.0"/>
    <col customWidth="1" min="12" max="12" width="19.38"/>
  </cols>
  <sheetData>
    <row r="1" ht="1.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2" t="s">
        <v>0</v>
      </c>
      <c r="B2" s="1"/>
      <c r="C2" s="1"/>
      <c r="D2" s="3" t="s">
        <v>1</v>
      </c>
      <c r="E2" s="3" t="s">
        <v>2</v>
      </c>
      <c r="F2" s="3"/>
      <c r="G2" s="4" t="s">
        <v>3</v>
      </c>
      <c r="H2" s="5"/>
      <c r="I2" s="1"/>
      <c r="J2" s="4" t="s">
        <v>4</v>
      </c>
      <c r="K2" s="5"/>
      <c r="L2" s="1"/>
      <c r="M2" s="1"/>
      <c r="N2" s="1"/>
      <c r="O2" s="1"/>
      <c r="P2" s="1"/>
      <c r="Q2" s="1"/>
      <c r="R2" s="1"/>
      <c r="S2" s="1"/>
      <c r="T2" s="1"/>
      <c r="U2" s="1"/>
      <c r="V2" s="1"/>
      <c r="W2" s="1"/>
      <c r="X2" s="1"/>
      <c r="Y2" s="1"/>
      <c r="Z2" s="1"/>
      <c r="AA2" s="1"/>
      <c r="AB2" s="1"/>
      <c r="AC2" s="1"/>
    </row>
    <row r="3">
      <c r="A3" s="6" t="s">
        <v>5</v>
      </c>
      <c r="B3" s="2" t="s">
        <v>6</v>
      </c>
      <c r="C3" s="2"/>
      <c r="D3" s="7" t="s">
        <v>7</v>
      </c>
      <c r="E3" s="8">
        <f>COUNTIF(K10:K39, "P")</f>
        <v>16</v>
      </c>
      <c r="F3" s="9"/>
      <c r="G3" s="2" t="s">
        <v>8</v>
      </c>
      <c r="H3" s="10">
        <f>COUNTIF(I10:I39, "Positive")</f>
        <v>11</v>
      </c>
      <c r="I3" s="1"/>
      <c r="J3" s="2" t="s">
        <v>9</v>
      </c>
      <c r="K3" s="10">
        <f>COUNTIF(J10:J39, "High")</f>
        <v>20</v>
      </c>
      <c r="L3" s="1"/>
      <c r="M3" s="1"/>
      <c r="N3" s="1"/>
      <c r="O3" s="1"/>
      <c r="P3" s="1"/>
      <c r="Q3" s="1"/>
      <c r="R3" s="1"/>
      <c r="S3" s="1"/>
      <c r="T3" s="1"/>
      <c r="U3" s="1"/>
      <c r="V3" s="1"/>
      <c r="W3" s="1"/>
      <c r="X3" s="1"/>
      <c r="Y3" s="1"/>
      <c r="Z3" s="1"/>
      <c r="AA3" s="1"/>
      <c r="AB3" s="1"/>
      <c r="AC3" s="1"/>
    </row>
    <row r="4">
      <c r="A4" s="6" t="s">
        <v>10</v>
      </c>
      <c r="B4" s="1"/>
      <c r="C4" s="1"/>
      <c r="D4" s="11" t="s">
        <v>11</v>
      </c>
      <c r="E4" s="8">
        <f>COUNTIF(K11:K39, "F")</f>
        <v>6</v>
      </c>
      <c r="F4" s="9"/>
      <c r="G4" s="2" t="s">
        <v>12</v>
      </c>
      <c r="H4" s="10">
        <f>COUNTIF(I10:I39, "Negative")</f>
        <v>13</v>
      </c>
      <c r="I4" s="1"/>
      <c r="J4" s="2" t="s">
        <v>13</v>
      </c>
      <c r="K4" s="10">
        <f>COUNTIF(J11:J40, "Medium")</f>
        <v>2</v>
      </c>
      <c r="L4" s="1"/>
      <c r="M4" s="1"/>
      <c r="N4" s="1"/>
      <c r="O4" s="1"/>
      <c r="P4" s="1"/>
      <c r="Q4" s="1"/>
      <c r="R4" s="1"/>
      <c r="S4" s="1"/>
      <c r="T4" s="1"/>
      <c r="U4" s="1"/>
      <c r="V4" s="1"/>
      <c r="W4" s="1"/>
      <c r="X4" s="1"/>
      <c r="Y4" s="1"/>
      <c r="Z4" s="1"/>
      <c r="AA4" s="1"/>
      <c r="AB4" s="1"/>
      <c r="AC4" s="1"/>
    </row>
    <row r="5">
      <c r="A5" s="1"/>
      <c r="B5" s="1"/>
      <c r="C5" s="1"/>
      <c r="D5" s="12" t="s">
        <v>14</v>
      </c>
      <c r="E5" s="8">
        <f>COUNTIF(K12:K39, "NE")</f>
        <v>0</v>
      </c>
      <c r="F5" s="9"/>
      <c r="G5" s="6" t="s">
        <v>15</v>
      </c>
      <c r="H5" s="10">
        <f>SUM(H3:H4)</f>
        <v>24</v>
      </c>
      <c r="I5" s="1"/>
      <c r="J5" s="2" t="s">
        <v>16</v>
      </c>
      <c r="K5" s="10">
        <f>COUNTIF(J12:J41, "Low")</f>
        <v>2</v>
      </c>
      <c r="L5" s="1"/>
      <c r="M5" s="1"/>
      <c r="N5" s="1"/>
      <c r="O5" s="1"/>
      <c r="P5" s="1"/>
      <c r="Q5" s="1"/>
      <c r="R5" s="1"/>
      <c r="S5" s="1"/>
      <c r="T5" s="1"/>
      <c r="U5" s="1"/>
      <c r="V5" s="1"/>
      <c r="W5" s="1"/>
      <c r="X5" s="1"/>
      <c r="Y5" s="1"/>
      <c r="Z5" s="1"/>
      <c r="AA5" s="1"/>
      <c r="AB5" s="1"/>
      <c r="AC5" s="1"/>
    </row>
    <row r="6">
      <c r="A6" s="1"/>
      <c r="B6" s="1"/>
      <c r="C6" s="1"/>
      <c r="D6" s="13" t="s">
        <v>17</v>
      </c>
      <c r="E6" s="8">
        <f>COUNTIF(K14:K39, "NA")</f>
        <v>2</v>
      </c>
      <c r="F6" s="9"/>
      <c r="G6" s="1"/>
      <c r="H6" s="1"/>
      <c r="I6" s="1"/>
      <c r="J6" s="6" t="s">
        <v>15</v>
      </c>
      <c r="K6" s="10">
        <f>SUM(K3:K5)</f>
        <v>24</v>
      </c>
      <c r="L6" s="1"/>
      <c r="M6" s="1"/>
      <c r="N6" s="1"/>
      <c r="O6" s="1"/>
      <c r="P6" s="1"/>
      <c r="Q6" s="1"/>
      <c r="R6" s="1"/>
      <c r="S6" s="1"/>
      <c r="T6" s="1"/>
      <c r="U6" s="1"/>
      <c r="V6" s="1"/>
      <c r="W6" s="1"/>
      <c r="X6" s="1"/>
      <c r="Y6" s="1"/>
      <c r="Z6" s="1"/>
      <c r="AA6" s="1"/>
      <c r="AB6" s="1"/>
      <c r="AC6" s="1"/>
    </row>
    <row r="7">
      <c r="A7" s="1"/>
      <c r="B7" s="1"/>
      <c r="C7" s="1"/>
      <c r="D7" s="3" t="s">
        <v>15</v>
      </c>
      <c r="E7" s="8">
        <f>SUM(E3:E6)</f>
        <v>24</v>
      </c>
      <c r="F7" s="9"/>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4" t="s">
        <v>18</v>
      </c>
      <c r="B9" s="15" t="s">
        <v>19</v>
      </c>
      <c r="C9" s="15" t="s">
        <v>20</v>
      </c>
      <c r="D9" s="14" t="s">
        <v>21</v>
      </c>
      <c r="E9" s="14" t="s">
        <v>22</v>
      </c>
      <c r="F9" s="14" t="s">
        <v>23</v>
      </c>
      <c r="G9" s="14" t="s">
        <v>24</v>
      </c>
      <c r="H9" s="14" t="s">
        <v>25</v>
      </c>
      <c r="I9" s="14" t="s">
        <v>26</v>
      </c>
      <c r="J9" s="14" t="s">
        <v>27</v>
      </c>
      <c r="K9" s="14" t="s">
        <v>28</v>
      </c>
      <c r="L9" s="14" t="s">
        <v>29</v>
      </c>
      <c r="M9" s="10"/>
      <c r="N9" s="1"/>
      <c r="O9" s="1"/>
      <c r="P9" s="1"/>
      <c r="Q9" s="1"/>
      <c r="R9" s="1"/>
      <c r="S9" s="1"/>
      <c r="T9" s="1"/>
      <c r="U9" s="1"/>
      <c r="V9" s="1"/>
      <c r="W9" s="1"/>
      <c r="X9" s="1"/>
      <c r="Y9" s="1"/>
      <c r="Z9" s="1"/>
      <c r="AA9" s="1"/>
      <c r="AB9" s="1"/>
      <c r="AC9" s="1"/>
    </row>
    <row r="10">
      <c r="A10" s="16" t="s">
        <v>30</v>
      </c>
      <c r="B10" s="17" t="s">
        <v>31</v>
      </c>
      <c r="C10" s="17" t="s">
        <v>32</v>
      </c>
      <c r="D10" s="18" t="s">
        <v>33</v>
      </c>
      <c r="E10" s="19" t="s">
        <v>34</v>
      </c>
      <c r="F10" s="17" t="s">
        <v>35</v>
      </c>
      <c r="G10" s="17" t="s">
        <v>36</v>
      </c>
      <c r="H10" s="18" t="s">
        <v>37</v>
      </c>
      <c r="I10" s="18" t="s">
        <v>8</v>
      </c>
      <c r="J10" s="18" t="s">
        <v>9</v>
      </c>
      <c r="K10" s="20" t="s">
        <v>38</v>
      </c>
      <c r="L10" s="21"/>
      <c r="M10" s="1"/>
      <c r="N10" s="1"/>
      <c r="O10" s="1"/>
      <c r="P10" s="1"/>
      <c r="Q10" s="1"/>
      <c r="R10" s="1"/>
      <c r="S10" s="1"/>
      <c r="T10" s="1"/>
      <c r="U10" s="1"/>
      <c r="V10" s="1"/>
      <c r="W10" s="1"/>
      <c r="X10" s="1"/>
      <c r="Y10" s="1"/>
      <c r="Z10" s="1"/>
      <c r="AA10" s="1"/>
      <c r="AB10" s="1"/>
      <c r="AC10" s="1"/>
    </row>
    <row r="11">
      <c r="A11" s="16" t="s">
        <v>39</v>
      </c>
      <c r="B11" s="17" t="s">
        <v>31</v>
      </c>
      <c r="C11" s="17" t="s">
        <v>40</v>
      </c>
      <c r="D11" s="17" t="s">
        <v>41</v>
      </c>
      <c r="E11" s="21"/>
      <c r="F11" s="17" t="s">
        <v>42</v>
      </c>
      <c r="G11" s="17" t="s">
        <v>43</v>
      </c>
      <c r="H11" s="18" t="s">
        <v>37</v>
      </c>
      <c r="I11" s="18" t="s">
        <v>8</v>
      </c>
      <c r="J11" s="18" t="s">
        <v>9</v>
      </c>
      <c r="K11" s="20" t="s">
        <v>38</v>
      </c>
      <c r="L11" s="21"/>
      <c r="M11" s="1"/>
      <c r="N11" s="1"/>
      <c r="O11" s="1"/>
      <c r="P11" s="1"/>
      <c r="Q11" s="1"/>
      <c r="R11" s="1"/>
      <c r="S11" s="1"/>
      <c r="T11" s="1"/>
      <c r="U11" s="1"/>
      <c r="V11" s="1"/>
      <c r="W11" s="1"/>
      <c r="X11" s="1"/>
      <c r="Y11" s="1"/>
      <c r="Z11" s="1"/>
      <c r="AA11" s="1"/>
      <c r="AB11" s="1"/>
      <c r="AC11" s="1"/>
    </row>
    <row r="12">
      <c r="A12" s="16" t="s">
        <v>44</v>
      </c>
      <c r="B12" s="17" t="s">
        <v>31</v>
      </c>
      <c r="C12" s="17" t="s">
        <v>45</v>
      </c>
      <c r="D12" s="17" t="s">
        <v>46</v>
      </c>
      <c r="E12" s="17" t="s">
        <v>47</v>
      </c>
      <c r="F12" s="17" t="s">
        <v>48</v>
      </c>
      <c r="G12" s="17" t="s">
        <v>49</v>
      </c>
      <c r="H12" s="17" t="s">
        <v>50</v>
      </c>
      <c r="I12" s="18" t="s">
        <v>8</v>
      </c>
      <c r="J12" s="18" t="s">
        <v>9</v>
      </c>
      <c r="K12" s="20" t="s">
        <v>51</v>
      </c>
      <c r="L12" s="17" t="s">
        <v>52</v>
      </c>
      <c r="M12" s="1"/>
      <c r="N12" s="1"/>
      <c r="O12" s="1"/>
      <c r="P12" s="1"/>
      <c r="Q12" s="1"/>
      <c r="R12" s="1"/>
      <c r="S12" s="1"/>
      <c r="T12" s="1"/>
      <c r="U12" s="1"/>
      <c r="V12" s="1"/>
      <c r="W12" s="1"/>
      <c r="X12" s="1"/>
      <c r="Y12" s="1"/>
      <c r="Z12" s="1"/>
      <c r="AA12" s="1"/>
      <c r="AB12" s="1"/>
      <c r="AC12" s="1"/>
    </row>
    <row r="13">
      <c r="A13" s="16" t="s">
        <v>44</v>
      </c>
      <c r="B13" s="17" t="s">
        <v>31</v>
      </c>
      <c r="C13" s="17" t="s">
        <v>53</v>
      </c>
      <c r="D13" s="17" t="s">
        <v>54</v>
      </c>
      <c r="E13" s="17" t="s">
        <v>55</v>
      </c>
      <c r="F13" s="17" t="s">
        <v>56</v>
      </c>
      <c r="G13" s="17" t="s">
        <v>57</v>
      </c>
      <c r="H13" s="18" t="s">
        <v>37</v>
      </c>
      <c r="I13" s="18" t="s">
        <v>8</v>
      </c>
      <c r="J13" s="18" t="s">
        <v>9</v>
      </c>
      <c r="K13" s="20" t="s">
        <v>38</v>
      </c>
      <c r="L13" s="21"/>
      <c r="M13" s="1"/>
      <c r="N13" s="1"/>
      <c r="O13" s="1"/>
      <c r="P13" s="1"/>
      <c r="Q13" s="1"/>
      <c r="R13" s="1"/>
      <c r="S13" s="1"/>
      <c r="T13" s="1"/>
      <c r="U13" s="1"/>
      <c r="V13" s="1"/>
      <c r="W13" s="1"/>
      <c r="X13" s="1"/>
      <c r="Y13" s="1"/>
      <c r="Z13" s="1"/>
      <c r="AA13" s="1"/>
      <c r="AB13" s="1"/>
      <c r="AC13" s="1"/>
    </row>
    <row r="14">
      <c r="A14" s="16" t="s">
        <v>58</v>
      </c>
      <c r="B14" s="17" t="s">
        <v>31</v>
      </c>
      <c r="C14" s="17" t="s">
        <v>59</v>
      </c>
      <c r="D14" s="17" t="s">
        <v>60</v>
      </c>
      <c r="E14" s="17" t="s">
        <v>61</v>
      </c>
      <c r="F14" s="17" t="s">
        <v>62</v>
      </c>
      <c r="G14" s="17" t="s">
        <v>63</v>
      </c>
      <c r="H14" s="18" t="s">
        <v>37</v>
      </c>
      <c r="I14" s="18" t="s">
        <v>8</v>
      </c>
      <c r="J14" s="18" t="s">
        <v>9</v>
      </c>
      <c r="K14" s="20" t="s">
        <v>38</v>
      </c>
      <c r="L14" s="21"/>
      <c r="M14" s="1"/>
      <c r="N14" s="1"/>
      <c r="O14" s="1"/>
      <c r="P14" s="1"/>
      <c r="Q14" s="1"/>
      <c r="R14" s="1"/>
      <c r="S14" s="1"/>
      <c r="T14" s="1"/>
      <c r="U14" s="1"/>
      <c r="V14" s="1"/>
      <c r="W14" s="1"/>
      <c r="X14" s="1"/>
      <c r="Y14" s="1"/>
      <c r="Z14" s="1"/>
      <c r="AA14" s="1"/>
      <c r="AB14" s="1"/>
      <c r="AC14" s="1"/>
    </row>
    <row r="15">
      <c r="A15" s="16" t="s">
        <v>64</v>
      </c>
      <c r="B15" s="17" t="s">
        <v>31</v>
      </c>
      <c r="C15" s="17" t="s">
        <v>65</v>
      </c>
      <c r="D15" s="17"/>
      <c r="E15" s="17"/>
      <c r="F15" s="17" t="s">
        <v>66</v>
      </c>
      <c r="G15" s="17" t="s">
        <v>67</v>
      </c>
      <c r="H15" s="17" t="s">
        <v>68</v>
      </c>
      <c r="I15" s="18" t="s">
        <v>12</v>
      </c>
      <c r="J15" s="18" t="s">
        <v>9</v>
      </c>
      <c r="K15" s="20" t="s">
        <v>51</v>
      </c>
      <c r="L15" s="17" t="s">
        <v>69</v>
      </c>
      <c r="M15" s="1"/>
      <c r="N15" s="1"/>
      <c r="O15" s="1"/>
      <c r="P15" s="1"/>
      <c r="Q15" s="1"/>
      <c r="R15" s="1"/>
      <c r="S15" s="1"/>
      <c r="T15" s="1"/>
      <c r="U15" s="1"/>
      <c r="V15" s="1"/>
      <c r="W15" s="1"/>
      <c r="X15" s="1"/>
      <c r="Y15" s="1"/>
      <c r="Z15" s="1"/>
      <c r="AA15" s="1"/>
      <c r="AB15" s="1"/>
      <c r="AC15" s="1"/>
    </row>
    <row r="16">
      <c r="A16" s="16" t="s">
        <v>70</v>
      </c>
      <c r="B16" s="17" t="s">
        <v>31</v>
      </c>
      <c r="C16" s="17" t="s">
        <v>71</v>
      </c>
      <c r="D16" s="17" t="s">
        <v>72</v>
      </c>
      <c r="E16" s="17" t="s">
        <v>73</v>
      </c>
      <c r="F16" s="17" t="s">
        <v>74</v>
      </c>
      <c r="G16" s="17" t="s">
        <v>75</v>
      </c>
      <c r="H16" s="18" t="s">
        <v>37</v>
      </c>
      <c r="I16" s="18" t="s">
        <v>12</v>
      </c>
      <c r="J16" s="18" t="s">
        <v>9</v>
      </c>
      <c r="K16" s="20" t="s">
        <v>38</v>
      </c>
      <c r="L16" s="21"/>
      <c r="M16" s="1"/>
      <c r="N16" s="1"/>
      <c r="O16" s="1"/>
      <c r="P16" s="1"/>
      <c r="Q16" s="1"/>
      <c r="R16" s="1"/>
      <c r="S16" s="1"/>
      <c r="T16" s="1"/>
      <c r="U16" s="1"/>
      <c r="V16" s="1"/>
      <c r="W16" s="1"/>
      <c r="X16" s="1"/>
      <c r="Y16" s="1"/>
      <c r="Z16" s="1"/>
      <c r="AA16" s="1"/>
      <c r="AB16" s="1"/>
      <c r="AC16" s="1"/>
    </row>
    <row r="17">
      <c r="A17" s="16" t="s">
        <v>76</v>
      </c>
      <c r="B17" s="17" t="s">
        <v>31</v>
      </c>
      <c r="C17" s="17" t="s">
        <v>77</v>
      </c>
      <c r="D17" s="17" t="s">
        <v>72</v>
      </c>
      <c r="E17" s="17" t="s">
        <v>78</v>
      </c>
      <c r="F17" s="17" t="s">
        <v>79</v>
      </c>
      <c r="G17" s="17" t="s">
        <v>80</v>
      </c>
      <c r="H17" s="17" t="s">
        <v>81</v>
      </c>
      <c r="I17" s="18" t="s">
        <v>12</v>
      </c>
      <c r="J17" s="18" t="s">
        <v>9</v>
      </c>
      <c r="K17" s="20" t="s">
        <v>51</v>
      </c>
      <c r="L17" s="21"/>
      <c r="M17" s="1"/>
      <c r="N17" s="1"/>
      <c r="O17" s="1"/>
      <c r="P17" s="1"/>
      <c r="Q17" s="1"/>
      <c r="R17" s="1"/>
      <c r="S17" s="1"/>
      <c r="T17" s="1"/>
      <c r="U17" s="1"/>
      <c r="V17" s="1"/>
      <c r="W17" s="1"/>
      <c r="X17" s="1"/>
      <c r="Y17" s="1"/>
      <c r="Z17" s="1"/>
      <c r="AA17" s="1"/>
      <c r="AB17" s="1"/>
      <c r="AC17" s="1"/>
    </row>
    <row r="18">
      <c r="A18" s="16" t="s">
        <v>82</v>
      </c>
      <c r="B18" s="17" t="s">
        <v>31</v>
      </c>
      <c r="C18" s="17" t="s">
        <v>83</v>
      </c>
      <c r="D18" s="21"/>
      <c r="E18" s="17" t="s">
        <v>84</v>
      </c>
      <c r="F18" s="17" t="s">
        <v>85</v>
      </c>
      <c r="G18" s="17" t="s">
        <v>80</v>
      </c>
      <c r="H18" s="17" t="s">
        <v>86</v>
      </c>
      <c r="I18" s="18" t="s">
        <v>12</v>
      </c>
      <c r="J18" s="18" t="s">
        <v>9</v>
      </c>
      <c r="K18" s="20" t="s">
        <v>51</v>
      </c>
      <c r="L18" s="21"/>
      <c r="M18" s="1"/>
      <c r="N18" s="1"/>
      <c r="O18" s="1"/>
      <c r="P18" s="1"/>
      <c r="Q18" s="1"/>
      <c r="R18" s="1"/>
      <c r="S18" s="1"/>
      <c r="T18" s="1"/>
      <c r="U18" s="1"/>
      <c r="V18" s="1"/>
      <c r="W18" s="1"/>
      <c r="X18" s="1"/>
      <c r="Y18" s="1"/>
      <c r="Z18" s="1"/>
      <c r="AA18" s="1"/>
      <c r="AB18" s="1"/>
      <c r="AC18" s="1"/>
    </row>
    <row r="19">
      <c r="A19" s="16" t="s">
        <v>87</v>
      </c>
      <c r="B19" s="17" t="s">
        <v>31</v>
      </c>
      <c r="C19" s="17" t="s">
        <v>88</v>
      </c>
      <c r="D19" s="21"/>
      <c r="E19" s="17" t="s">
        <v>89</v>
      </c>
      <c r="F19" s="17" t="s">
        <v>90</v>
      </c>
      <c r="G19" s="17" t="s">
        <v>91</v>
      </c>
      <c r="H19" s="18" t="s">
        <v>37</v>
      </c>
      <c r="I19" s="18" t="s">
        <v>12</v>
      </c>
      <c r="J19" s="18" t="s">
        <v>9</v>
      </c>
      <c r="K19" s="20" t="s">
        <v>38</v>
      </c>
      <c r="L19" s="21"/>
      <c r="M19" s="1"/>
      <c r="N19" s="1"/>
      <c r="O19" s="1"/>
      <c r="P19" s="1"/>
      <c r="Q19" s="1"/>
      <c r="R19" s="1"/>
      <c r="S19" s="1"/>
      <c r="T19" s="1"/>
      <c r="U19" s="1"/>
      <c r="V19" s="1"/>
      <c r="W19" s="1"/>
      <c r="X19" s="1"/>
      <c r="Y19" s="1"/>
      <c r="Z19" s="1"/>
      <c r="AA19" s="1"/>
      <c r="AB19" s="1"/>
      <c r="AC19" s="1"/>
    </row>
    <row r="20">
      <c r="A20" s="16" t="s">
        <v>92</v>
      </c>
      <c r="B20" s="17" t="s">
        <v>31</v>
      </c>
      <c r="C20" s="17" t="s">
        <v>93</v>
      </c>
      <c r="D20" s="21"/>
      <c r="E20" s="17" t="s">
        <v>94</v>
      </c>
      <c r="F20" s="17" t="s">
        <v>95</v>
      </c>
      <c r="G20" s="17" t="s">
        <v>96</v>
      </c>
      <c r="H20" s="18" t="s">
        <v>37</v>
      </c>
      <c r="I20" s="18" t="s">
        <v>12</v>
      </c>
      <c r="J20" s="18" t="s">
        <v>9</v>
      </c>
      <c r="K20" s="20" t="s">
        <v>38</v>
      </c>
      <c r="L20" s="21"/>
      <c r="M20" s="1"/>
      <c r="N20" s="1"/>
      <c r="O20" s="1"/>
      <c r="P20" s="1"/>
      <c r="Q20" s="1"/>
      <c r="R20" s="1"/>
      <c r="S20" s="1"/>
      <c r="T20" s="1"/>
      <c r="U20" s="1"/>
      <c r="V20" s="1"/>
      <c r="W20" s="1"/>
      <c r="X20" s="1"/>
      <c r="Y20" s="1"/>
      <c r="Z20" s="1"/>
      <c r="AA20" s="1"/>
      <c r="AB20" s="1"/>
      <c r="AC20" s="1"/>
    </row>
    <row r="21">
      <c r="A21" s="16" t="s">
        <v>97</v>
      </c>
      <c r="B21" s="17" t="s">
        <v>31</v>
      </c>
      <c r="C21" s="17" t="s">
        <v>98</v>
      </c>
      <c r="D21" s="21"/>
      <c r="E21" s="21"/>
      <c r="F21" s="17" t="s">
        <v>99</v>
      </c>
      <c r="G21" s="17" t="s">
        <v>100</v>
      </c>
      <c r="H21" s="18" t="s">
        <v>37</v>
      </c>
      <c r="I21" s="18" t="s">
        <v>12</v>
      </c>
      <c r="J21" s="18" t="s">
        <v>9</v>
      </c>
      <c r="K21" s="20" t="s">
        <v>38</v>
      </c>
      <c r="L21" s="21"/>
      <c r="M21" s="1"/>
      <c r="N21" s="1"/>
      <c r="O21" s="1"/>
      <c r="P21" s="1"/>
      <c r="Q21" s="1"/>
      <c r="R21" s="1"/>
      <c r="S21" s="1"/>
      <c r="T21" s="1"/>
      <c r="U21" s="1"/>
      <c r="V21" s="1"/>
      <c r="W21" s="1"/>
      <c r="X21" s="1"/>
      <c r="Y21" s="1"/>
      <c r="Z21" s="1"/>
      <c r="AA21" s="1"/>
      <c r="AB21" s="1"/>
      <c r="AC21" s="1"/>
    </row>
    <row r="22">
      <c r="A22" s="16" t="s">
        <v>101</v>
      </c>
      <c r="B22" s="17" t="s">
        <v>31</v>
      </c>
      <c r="C22" s="17" t="s">
        <v>102</v>
      </c>
      <c r="D22" s="21"/>
      <c r="E22" s="17" t="s">
        <v>103</v>
      </c>
      <c r="F22" s="17" t="s">
        <v>104</v>
      </c>
      <c r="G22" s="17" t="s">
        <v>105</v>
      </c>
      <c r="H22" s="18" t="s">
        <v>37</v>
      </c>
      <c r="I22" s="17" t="s">
        <v>12</v>
      </c>
      <c r="J22" s="18" t="s">
        <v>9</v>
      </c>
      <c r="K22" s="20" t="s">
        <v>38</v>
      </c>
      <c r="L22" s="21"/>
      <c r="M22" s="1"/>
      <c r="N22" s="1"/>
      <c r="O22" s="1"/>
      <c r="P22" s="1"/>
      <c r="Q22" s="1"/>
      <c r="R22" s="1"/>
      <c r="S22" s="1"/>
      <c r="T22" s="1"/>
      <c r="U22" s="1"/>
      <c r="V22" s="1"/>
      <c r="W22" s="1"/>
      <c r="X22" s="1"/>
      <c r="Y22" s="1"/>
      <c r="Z22" s="1"/>
      <c r="AA22" s="1"/>
      <c r="AB22" s="1"/>
      <c r="AC22" s="1"/>
    </row>
    <row r="23">
      <c r="A23" s="16" t="s">
        <v>106</v>
      </c>
      <c r="B23" s="17" t="s">
        <v>31</v>
      </c>
      <c r="C23" s="17" t="s">
        <v>107</v>
      </c>
      <c r="D23" s="21"/>
      <c r="E23" s="17" t="s">
        <v>108</v>
      </c>
      <c r="F23" s="17" t="s">
        <v>109</v>
      </c>
      <c r="G23" s="17" t="s">
        <v>110</v>
      </c>
      <c r="H23" s="17" t="s">
        <v>111</v>
      </c>
      <c r="I23" s="17" t="s">
        <v>12</v>
      </c>
      <c r="J23" s="18" t="s">
        <v>9</v>
      </c>
      <c r="K23" s="20" t="s">
        <v>51</v>
      </c>
      <c r="L23" s="17" t="s">
        <v>112</v>
      </c>
      <c r="M23" s="1"/>
      <c r="N23" s="1"/>
      <c r="O23" s="1"/>
      <c r="P23" s="1"/>
      <c r="Q23" s="1"/>
      <c r="R23" s="1"/>
      <c r="S23" s="1"/>
      <c r="T23" s="1"/>
      <c r="U23" s="1"/>
      <c r="V23" s="1"/>
      <c r="W23" s="1"/>
      <c r="X23" s="1"/>
      <c r="Y23" s="1"/>
      <c r="Z23" s="1"/>
      <c r="AA23" s="1"/>
      <c r="AB23" s="1"/>
      <c r="AC23" s="1"/>
    </row>
    <row r="24">
      <c r="A24" s="16" t="s">
        <v>113</v>
      </c>
      <c r="B24" s="17" t="s">
        <v>31</v>
      </c>
      <c r="C24" s="17" t="s">
        <v>114</v>
      </c>
      <c r="D24" s="21"/>
      <c r="E24" s="21"/>
      <c r="F24" s="17" t="s">
        <v>115</v>
      </c>
      <c r="G24" s="17" t="s">
        <v>116</v>
      </c>
      <c r="H24" s="17" t="s">
        <v>37</v>
      </c>
      <c r="I24" s="17" t="s">
        <v>12</v>
      </c>
      <c r="J24" s="18" t="s">
        <v>9</v>
      </c>
      <c r="K24" s="20" t="s">
        <v>38</v>
      </c>
      <c r="L24" s="21"/>
      <c r="M24" s="1"/>
      <c r="N24" s="1"/>
      <c r="O24" s="1"/>
      <c r="P24" s="1"/>
      <c r="Q24" s="1"/>
      <c r="R24" s="1"/>
      <c r="S24" s="1"/>
      <c r="T24" s="1"/>
      <c r="U24" s="1"/>
      <c r="V24" s="1"/>
      <c r="W24" s="1"/>
      <c r="X24" s="1"/>
      <c r="Y24" s="1"/>
      <c r="Z24" s="1"/>
      <c r="AA24" s="1"/>
      <c r="AB24" s="1"/>
      <c r="AC24" s="1"/>
    </row>
    <row r="25">
      <c r="A25" s="16" t="s">
        <v>117</v>
      </c>
      <c r="B25" s="17" t="s">
        <v>31</v>
      </c>
      <c r="C25" s="17" t="s">
        <v>118</v>
      </c>
      <c r="D25" s="21"/>
      <c r="E25" s="17" t="s">
        <v>119</v>
      </c>
      <c r="F25" s="17" t="s">
        <v>120</v>
      </c>
      <c r="G25" s="17" t="s">
        <v>121</v>
      </c>
      <c r="H25" s="18" t="s">
        <v>37</v>
      </c>
      <c r="I25" s="18" t="s">
        <v>8</v>
      </c>
      <c r="J25" s="18" t="s">
        <v>9</v>
      </c>
      <c r="K25" s="20" t="s">
        <v>38</v>
      </c>
      <c r="L25" s="21"/>
      <c r="M25" s="1"/>
      <c r="N25" s="1"/>
      <c r="O25" s="1"/>
      <c r="P25" s="1"/>
      <c r="Q25" s="1"/>
      <c r="R25" s="1"/>
      <c r="S25" s="1"/>
      <c r="T25" s="1"/>
      <c r="U25" s="1"/>
      <c r="V25" s="1"/>
      <c r="W25" s="1"/>
      <c r="X25" s="1"/>
      <c r="Y25" s="1"/>
      <c r="Z25" s="1"/>
      <c r="AA25" s="1"/>
      <c r="AB25" s="1"/>
      <c r="AC25" s="1"/>
    </row>
    <row r="26">
      <c r="A26" s="16" t="s">
        <v>122</v>
      </c>
      <c r="B26" s="17" t="s">
        <v>31</v>
      </c>
      <c r="C26" s="17" t="s">
        <v>123</v>
      </c>
      <c r="D26" s="21"/>
      <c r="E26" s="17" t="s">
        <v>124</v>
      </c>
      <c r="F26" s="17" t="s">
        <v>125</v>
      </c>
      <c r="G26" s="17" t="s">
        <v>126</v>
      </c>
      <c r="H26" s="17" t="s">
        <v>127</v>
      </c>
      <c r="I26" s="18" t="s">
        <v>12</v>
      </c>
      <c r="J26" s="18" t="s">
        <v>16</v>
      </c>
      <c r="K26" s="18" t="s">
        <v>38</v>
      </c>
      <c r="L26" s="21"/>
      <c r="M26" s="1"/>
      <c r="N26" s="1"/>
      <c r="O26" s="1"/>
      <c r="P26" s="1"/>
      <c r="Q26" s="1"/>
      <c r="R26" s="1"/>
      <c r="S26" s="1"/>
      <c r="T26" s="1"/>
      <c r="U26" s="1"/>
      <c r="V26" s="1"/>
      <c r="W26" s="1"/>
      <c r="X26" s="1"/>
      <c r="Y26" s="1"/>
      <c r="Z26" s="1"/>
      <c r="AA26" s="1"/>
      <c r="AB26" s="1"/>
      <c r="AC26" s="1"/>
    </row>
    <row r="27">
      <c r="A27" s="16" t="s">
        <v>128</v>
      </c>
      <c r="B27" s="17" t="s">
        <v>31</v>
      </c>
      <c r="C27" s="17" t="s">
        <v>129</v>
      </c>
      <c r="D27" s="17" t="s">
        <v>130</v>
      </c>
      <c r="E27" s="17" t="s">
        <v>131</v>
      </c>
      <c r="F27" s="17" t="s">
        <v>132</v>
      </c>
      <c r="G27" s="17" t="s">
        <v>133</v>
      </c>
      <c r="H27" s="17" t="s">
        <v>134</v>
      </c>
      <c r="I27" s="18" t="s">
        <v>12</v>
      </c>
      <c r="J27" s="18" t="s">
        <v>9</v>
      </c>
      <c r="K27" s="16" t="s">
        <v>38</v>
      </c>
      <c r="L27" s="21"/>
      <c r="M27" s="1"/>
      <c r="N27" s="1"/>
      <c r="O27" s="1"/>
      <c r="P27" s="1"/>
      <c r="Q27" s="1"/>
      <c r="R27" s="1"/>
      <c r="S27" s="1"/>
      <c r="T27" s="1"/>
      <c r="U27" s="1"/>
      <c r="V27" s="1"/>
      <c r="W27" s="1"/>
      <c r="X27" s="1"/>
      <c r="Y27" s="1"/>
      <c r="Z27" s="1"/>
      <c r="AA27" s="1"/>
      <c r="AB27" s="1"/>
      <c r="AC27" s="1"/>
    </row>
    <row r="28">
      <c r="A28" s="16" t="s">
        <v>135</v>
      </c>
      <c r="B28" s="17" t="s">
        <v>31</v>
      </c>
      <c r="C28" s="17" t="s">
        <v>136</v>
      </c>
      <c r="D28" s="22"/>
      <c r="E28" s="17" t="s">
        <v>137</v>
      </c>
      <c r="F28" s="17" t="s">
        <v>138</v>
      </c>
      <c r="G28" s="17" t="s">
        <v>139</v>
      </c>
      <c r="H28" s="17" t="s">
        <v>140</v>
      </c>
      <c r="I28" s="18" t="s">
        <v>8</v>
      </c>
      <c r="J28" s="18" t="s">
        <v>9</v>
      </c>
      <c r="K28" s="16" t="s">
        <v>38</v>
      </c>
      <c r="L28" s="21"/>
      <c r="M28" s="1"/>
      <c r="N28" s="1"/>
      <c r="O28" s="1"/>
      <c r="P28" s="1"/>
      <c r="Q28" s="1"/>
      <c r="R28" s="1"/>
      <c r="S28" s="1"/>
      <c r="T28" s="1"/>
      <c r="U28" s="1"/>
      <c r="V28" s="1"/>
      <c r="W28" s="1"/>
      <c r="X28" s="1"/>
      <c r="Y28" s="1"/>
      <c r="Z28" s="1"/>
      <c r="AA28" s="1"/>
      <c r="AB28" s="1"/>
      <c r="AC28" s="1"/>
    </row>
    <row r="29">
      <c r="A29" s="16" t="s">
        <v>141</v>
      </c>
      <c r="B29" s="17" t="s">
        <v>31</v>
      </c>
      <c r="C29" s="17" t="s">
        <v>142</v>
      </c>
      <c r="D29" s="21"/>
      <c r="E29" s="17" t="s">
        <v>143</v>
      </c>
      <c r="F29" s="17" t="s">
        <v>144</v>
      </c>
      <c r="G29" s="17" t="s">
        <v>145</v>
      </c>
      <c r="H29" s="17" t="s">
        <v>146</v>
      </c>
      <c r="I29" s="18" t="s">
        <v>8</v>
      </c>
      <c r="J29" s="18" t="s">
        <v>9</v>
      </c>
      <c r="K29" s="16" t="s">
        <v>38</v>
      </c>
      <c r="L29" s="21"/>
      <c r="M29" s="1"/>
      <c r="N29" s="1"/>
      <c r="O29" s="1"/>
      <c r="P29" s="1"/>
      <c r="Q29" s="1"/>
      <c r="R29" s="1"/>
      <c r="S29" s="1"/>
      <c r="T29" s="1"/>
      <c r="U29" s="1"/>
      <c r="V29" s="1"/>
      <c r="W29" s="1"/>
      <c r="X29" s="1"/>
      <c r="Y29" s="1"/>
      <c r="Z29" s="1"/>
      <c r="AA29" s="1"/>
      <c r="AB29" s="1"/>
      <c r="AC29" s="1"/>
    </row>
    <row r="30">
      <c r="A30" s="16" t="s">
        <v>147</v>
      </c>
      <c r="B30" s="17" t="s">
        <v>31</v>
      </c>
      <c r="C30" s="17" t="s">
        <v>148</v>
      </c>
      <c r="D30" s="17" t="s">
        <v>149</v>
      </c>
      <c r="E30" s="17" t="s">
        <v>150</v>
      </c>
      <c r="F30" s="17" t="s">
        <v>151</v>
      </c>
      <c r="G30" s="17" t="s">
        <v>152</v>
      </c>
      <c r="H30" s="17" t="s">
        <v>153</v>
      </c>
      <c r="I30" s="18" t="s">
        <v>8</v>
      </c>
      <c r="J30" s="18" t="s">
        <v>13</v>
      </c>
      <c r="K30" s="16" t="s">
        <v>38</v>
      </c>
      <c r="L30" s="21"/>
      <c r="M30" s="1"/>
      <c r="N30" s="1"/>
      <c r="O30" s="1"/>
      <c r="P30" s="1"/>
      <c r="Q30" s="1"/>
      <c r="R30" s="1"/>
      <c r="S30" s="1"/>
      <c r="T30" s="1"/>
      <c r="U30" s="1"/>
      <c r="V30" s="1"/>
      <c r="W30" s="1"/>
      <c r="X30" s="1"/>
      <c r="Y30" s="1"/>
      <c r="Z30" s="1"/>
      <c r="AA30" s="1"/>
      <c r="AB30" s="1"/>
      <c r="AC30" s="1"/>
    </row>
    <row r="31">
      <c r="A31" s="16" t="s">
        <v>154</v>
      </c>
      <c r="B31" s="17" t="s">
        <v>31</v>
      </c>
      <c r="C31" s="17" t="s">
        <v>155</v>
      </c>
      <c r="D31" s="18" t="s">
        <v>156</v>
      </c>
      <c r="E31" s="17" t="s">
        <v>157</v>
      </c>
      <c r="F31" s="17" t="s">
        <v>158</v>
      </c>
      <c r="G31" s="17" t="s">
        <v>159</v>
      </c>
      <c r="H31" s="17" t="s">
        <v>160</v>
      </c>
      <c r="I31" s="18" t="s">
        <v>12</v>
      </c>
      <c r="J31" s="18" t="s">
        <v>16</v>
      </c>
      <c r="K31" s="16" t="s">
        <v>51</v>
      </c>
      <c r="L31" s="21"/>
      <c r="M31" s="1"/>
      <c r="N31" s="1"/>
      <c r="O31" s="1"/>
      <c r="P31" s="1"/>
      <c r="Q31" s="1"/>
      <c r="R31" s="1"/>
      <c r="S31" s="1"/>
      <c r="T31" s="1"/>
      <c r="U31" s="1"/>
      <c r="V31" s="1"/>
      <c r="W31" s="1"/>
      <c r="X31" s="1"/>
      <c r="Y31" s="1"/>
      <c r="Z31" s="1"/>
      <c r="AA31" s="1"/>
      <c r="AB31" s="1"/>
      <c r="AC31" s="1"/>
    </row>
    <row r="32">
      <c r="A32" s="16" t="s">
        <v>161</v>
      </c>
      <c r="B32" s="17" t="s">
        <v>31</v>
      </c>
      <c r="C32" s="17" t="s">
        <v>162</v>
      </c>
      <c r="D32" s="18" t="s">
        <v>163</v>
      </c>
      <c r="E32" s="18" t="s">
        <v>164</v>
      </c>
      <c r="F32" s="17" t="s">
        <v>165</v>
      </c>
      <c r="G32" s="23" t="s">
        <v>166</v>
      </c>
      <c r="H32" s="17" t="s">
        <v>167</v>
      </c>
      <c r="I32" s="18" t="s">
        <v>8</v>
      </c>
      <c r="J32" s="18" t="s">
        <v>13</v>
      </c>
      <c r="K32" s="16" t="s">
        <v>168</v>
      </c>
      <c r="L32" s="21"/>
      <c r="M32" s="1"/>
      <c r="N32" s="1"/>
      <c r="O32" s="1"/>
      <c r="P32" s="1"/>
      <c r="Q32" s="1"/>
      <c r="R32" s="1"/>
      <c r="S32" s="1"/>
      <c r="T32" s="1"/>
      <c r="U32" s="1"/>
      <c r="V32" s="1"/>
      <c r="W32" s="1"/>
      <c r="X32" s="1"/>
      <c r="Y32" s="1"/>
      <c r="Z32" s="1"/>
      <c r="AA32" s="1"/>
      <c r="AB32" s="1"/>
      <c r="AC32" s="1"/>
    </row>
    <row r="33">
      <c r="A33" s="16" t="s">
        <v>169</v>
      </c>
      <c r="B33" s="17" t="s">
        <v>31</v>
      </c>
      <c r="C33" s="17" t="s">
        <v>170</v>
      </c>
      <c r="D33" s="21"/>
      <c r="E33" s="18" t="s">
        <v>171</v>
      </c>
      <c r="F33" s="17" t="s">
        <v>172</v>
      </c>
      <c r="G33" s="23" t="s">
        <v>173</v>
      </c>
      <c r="H33" s="18" t="s">
        <v>174</v>
      </c>
      <c r="I33" s="18" t="s">
        <v>8</v>
      </c>
      <c r="J33" s="18" t="s">
        <v>9</v>
      </c>
      <c r="K33" s="16" t="s">
        <v>168</v>
      </c>
      <c r="L33" s="21"/>
      <c r="M33" s="1"/>
      <c r="N33" s="1"/>
      <c r="O33" s="1"/>
      <c r="P33" s="1"/>
      <c r="Q33" s="1"/>
      <c r="R33" s="1"/>
      <c r="S33" s="1"/>
      <c r="T33" s="1"/>
      <c r="U33" s="1"/>
      <c r="V33" s="1"/>
      <c r="W33" s="1"/>
      <c r="X33" s="1"/>
      <c r="Y33" s="1"/>
      <c r="Z33" s="1"/>
      <c r="AA33" s="1"/>
      <c r="AB33" s="1"/>
      <c r="AC33" s="1"/>
    </row>
    <row r="34">
      <c r="A34" s="21"/>
      <c r="B34" s="21"/>
      <c r="C34" s="21"/>
      <c r="D34" s="21"/>
      <c r="E34" s="24"/>
      <c r="F34" s="21"/>
      <c r="G34" s="21"/>
      <c r="H34" s="21"/>
      <c r="I34" s="21"/>
      <c r="J34" s="21"/>
      <c r="K34" s="25"/>
      <c r="L34" s="21"/>
      <c r="M34" s="1"/>
      <c r="N34" s="1"/>
      <c r="O34" s="1"/>
      <c r="P34" s="1"/>
      <c r="Q34" s="1"/>
      <c r="R34" s="1"/>
      <c r="S34" s="1"/>
      <c r="T34" s="1"/>
      <c r="U34" s="1"/>
      <c r="V34" s="1"/>
      <c r="W34" s="1"/>
      <c r="X34" s="1"/>
      <c r="Y34" s="1"/>
      <c r="Z34" s="1"/>
      <c r="AA34" s="1"/>
      <c r="AB34" s="1"/>
      <c r="AC34" s="1"/>
    </row>
    <row r="35">
      <c r="A35" s="21"/>
      <c r="B35" s="21"/>
      <c r="C35" s="21"/>
      <c r="D35" s="21"/>
      <c r="E35" s="21"/>
      <c r="F35" s="21"/>
      <c r="G35" s="21"/>
      <c r="H35" s="21"/>
      <c r="I35" s="21"/>
      <c r="J35" s="21"/>
      <c r="K35" s="25"/>
      <c r="L35" s="21"/>
      <c r="M35" s="1"/>
      <c r="N35" s="1"/>
      <c r="O35" s="1"/>
      <c r="P35" s="1"/>
      <c r="Q35" s="1"/>
      <c r="R35" s="1"/>
      <c r="S35" s="1"/>
      <c r="T35" s="1"/>
      <c r="U35" s="1"/>
      <c r="V35" s="1"/>
      <c r="W35" s="1"/>
      <c r="X35" s="1"/>
      <c r="Y35" s="1"/>
      <c r="Z35" s="1"/>
      <c r="AA35" s="1"/>
      <c r="AB35" s="1"/>
      <c r="AC35" s="1"/>
    </row>
    <row r="36">
      <c r="A36" s="21"/>
      <c r="B36" s="21"/>
      <c r="C36" s="21"/>
      <c r="D36" s="21"/>
      <c r="E36" s="21"/>
      <c r="F36" s="21"/>
      <c r="G36" s="21"/>
      <c r="H36" s="21"/>
      <c r="I36" s="21"/>
      <c r="J36" s="21"/>
      <c r="K36" s="25"/>
      <c r="L36" s="21"/>
      <c r="M36" s="1"/>
      <c r="N36" s="1"/>
      <c r="O36" s="1"/>
      <c r="P36" s="1"/>
      <c r="Q36" s="1"/>
      <c r="R36" s="1"/>
      <c r="S36" s="1"/>
      <c r="T36" s="1"/>
      <c r="U36" s="1"/>
      <c r="V36" s="1"/>
      <c r="W36" s="1"/>
      <c r="X36" s="1"/>
      <c r="Y36" s="1"/>
      <c r="Z36" s="1"/>
      <c r="AA36" s="1"/>
      <c r="AB36" s="1"/>
      <c r="AC36" s="1"/>
    </row>
    <row r="37">
      <c r="A37" s="21"/>
      <c r="B37" s="21"/>
      <c r="C37" s="21"/>
      <c r="D37" s="21"/>
      <c r="E37" s="21"/>
      <c r="F37" s="21"/>
      <c r="G37" s="21"/>
      <c r="H37" s="21"/>
      <c r="I37" s="21"/>
      <c r="J37" s="21"/>
      <c r="K37" s="25"/>
      <c r="L37" s="21"/>
      <c r="M37" s="1"/>
      <c r="N37" s="1"/>
      <c r="O37" s="1"/>
      <c r="P37" s="1"/>
      <c r="Q37" s="1"/>
      <c r="R37" s="1"/>
      <c r="S37" s="1"/>
      <c r="T37" s="1"/>
      <c r="U37" s="1"/>
      <c r="V37" s="1"/>
      <c r="W37" s="1"/>
      <c r="X37" s="1"/>
      <c r="Y37" s="1"/>
      <c r="Z37" s="1"/>
      <c r="AA37" s="1"/>
      <c r="AB37" s="1"/>
      <c r="AC37" s="1"/>
    </row>
    <row r="38">
      <c r="A38" s="21"/>
      <c r="B38" s="21"/>
      <c r="C38" s="21"/>
      <c r="D38" s="21"/>
      <c r="E38" s="21"/>
      <c r="F38" s="21"/>
      <c r="G38" s="21"/>
      <c r="H38" s="21"/>
      <c r="I38" s="21"/>
      <c r="J38" s="21"/>
      <c r="K38" s="25"/>
      <c r="L38" s="21"/>
      <c r="M38" s="1"/>
      <c r="N38" s="1"/>
      <c r="O38" s="1"/>
      <c r="P38" s="1"/>
      <c r="Q38" s="1"/>
      <c r="R38" s="1"/>
      <c r="S38" s="1"/>
      <c r="T38" s="1"/>
      <c r="U38" s="1"/>
      <c r="V38" s="1"/>
      <c r="W38" s="1"/>
      <c r="X38" s="1"/>
      <c r="Y38" s="1"/>
      <c r="Z38" s="1"/>
      <c r="AA38" s="1"/>
      <c r="AB38" s="1"/>
      <c r="AC38" s="1"/>
    </row>
    <row r="39">
      <c r="A39" s="21"/>
      <c r="B39" s="21"/>
      <c r="C39" s="21"/>
      <c r="D39" s="21"/>
      <c r="E39" s="21"/>
      <c r="F39" s="21"/>
      <c r="G39" s="21"/>
      <c r="H39" s="21"/>
      <c r="I39" s="21"/>
      <c r="J39" s="21"/>
      <c r="K39" s="25"/>
      <c r="L39" s="21"/>
      <c r="M39" s="1"/>
      <c r="N39" s="1"/>
      <c r="O39" s="1"/>
      <c r="P39" s="1"/>
      <c r="Q39" s="1"/>
      <c r="R39" s="1"/>
      <c r="S39" s="1"/>
      <c r="T39" s="1"/>
      <c r="U39" s="1"/>
      <c r="V39" s="1"/>
      <c r="W39" s="1"/>
      <c r="X39" s="1"/>
      <c r="Y39" s="1"/>
      <c r="Z39" s="1"/>
      <c r="AA39" s="1"/>
      <c r="AB39" s="1"/>
      <c r="AC39" s="1"/>
    </row>
    <row r="40">
      <c r="A40" s="21"/>
      <c r="B40" s="21"/>
      <c r="C40" s="21"/>
      <c r="D40" s="21"/>
      <c r="E40" s="21"/>
      <c r="F40" s="21"/>
      <c r="G40" s="21"/>
      <c r="H40" s="21"/>
      <c r="I40" s="21"/>
      <c r="J40" s="21"/>
      <c r="K40" s="21"/>
      <c r="L40" s="21"/>
      <c r="M40" s="1"/>
      <c r="N40" s="1"/>
      <c r="O40" s="1"/>
      <c r="P40" s="1"/>
      <c r="Q40" s="1"/>
      <c r="R40" s="1"/>
      <c r="S40" s="1"/>
      <c r="T40" s="1"/>
      <c r="U40" s="1"/>
      <c r="V40" s="1"/>
      <c r="W40" s="1"/>
      <c r="X40" s="1"/>
      <c r="Y40" s="1"/>
      <c r="Z40" s="1"/>
      <c r="AA40" s="1"/>
      <c r="AB40" s="1"/>
      <c r="AC40" s="1"/>
    </row>
    <row r="41">
      <c r="A41" s="21"/>
      <c r="B41" s="21"/>
      <c r="C41" s="21"/>
      <c r="D41" s="21"/>
      <c r="E41" s="21"/>
      <c r="F41" s="21"/>
      <c r="G41" s="21"/>
      <c r="H41" s="21"/>
      <c r="I41" s="21"/>
      <c r="J41" s="21"/>
      <c r="K41" s="21"/>
      <c r="L41" s="21"/>
      <c r="M41" s="1"/>
      <c r="N41" s="1"/>
      <c r="O41" s="1"/>
      <c r="P41" s="1"/>
      <c r="Q41" s="1"/>
      <c r="R41" s="1"/>
      <c r="S41" s="1"/>
      <c r="T41" s="1"/>
      <c r="U41" s="1"/>
      <c r="V41" s="1"/>
      <c r="W41" s="1"/>
      <c r="X41" s="1"/>
      <c r="Y41" s="1"/>
      <c r="Z41" s="1"/>
      <c r="AA41" s="1"/>
      <c r="AB41" s="1"/>
      <c r="AC41" s="1"/>
    </row>
    <row r="42">
      <c r="A42" s="21"/>
      <c r="B42" s="21"/>
      <c r="C42" s="21"/>
      <c r="D42" s="21"/>
      <c r="E42" s="21"/>
      <c r="F42" s="21"/>
      <c r="G42" s="21"/>
      <c r="H42" s="21"/>
      <c r="I42" s="21"/>
      <c r="J42" s="21"/>
      <c r="K42" s="21"/>
      <c r="L42" s="21"/>
      <c r="M42" s="1"/>
      <c r="N42" s="1"/>
      <c r="O42" s="1"/>
      <c r="P42" s="1"/>
      <c r="Q42" s="1"/>
      <c r="R42" s="1"/>
      <c r="S42" s="1"/>
      <c r="T42" s="1"/>
      <c r="U42" s="1"/>
      <c r="V42" s="1"/>
      <c r="W42" s="1"/>
      <c r="X42" s="1"/>
      <c r="Y42" s="1"/>
      <c r="Z42" s="1"/>
      <c r="AA42" s="1"/>
      <c r="AB42" s="1"/>
      <c r="AC42" s="1"/>
    </row>
    <row r="43">
      <c r="A43" s="21"/>
      <c r="B43" s="21"/>
      <c r="C43" s="21"/>
      <c r="D43" s="21"/>
      <c r="E43" s="21"/>
      <c r="F43" s="21"/>
      <c r="G43" s="21"/>
      <c r="H43" s="21"/>
      <c r="I43" s="21"/>
      <c r="J43" s="21"/>
      <c r="K43" s="21"/>
      <c r="L43" s="21"/>
      <c r="M43" s="1"/>
      <c r="N43" s="1"/>
      <c r="O43" s="1"/>
      <c r="P43" s="1"/>
      <c r="Q43" s="1"/>
      <c r="R43" s="1"/>
      <c r="S43" s="1"/>
      <c r="T43" s="1"/>
      <c r="U43" s="1"/>
      <c r="V43" s="1"/>
      <c r="W43" s="1"/>
      <c r="X43" s="1"/>
      <c r="Y43" s="1"/>
      <c r="Z43" s="1"/>
      <c r="AA43" s="1"/>
      <c r="AB43" s="1"/>
      <c r="AC43" s="1"/>
    </row>
    <row r="44">
      <c r="A44" s="21"/>
      <c r="B44" s="21"/>
      <c r="C44" s="21"/>
      <c r="D44" s="21"/>
      <c r="E44" s="21"/>
      <c r="F44" s="21"/>
      <c r="G44" s="21"/>
      <c r="H44" s="21"/>
      <c r="I44" s="21"/>
      <c r="J44" s="21"/>
      <c r="K44" s="21"/>
      <c r="L44" s="21"/>
      <c r="M44" s="1"/>
      <c r="N44" s="1"/>
      <c r="O44" s="1"/>
      <c r="P44" s="1"/>
      <c r="Q44" s="1"/>
      <c r="R44" s="1"/>
      <c r="S44" s="1"/>
      <c r="T44" s="1"/>
      <c r="U44" s="1"/>
      <c r="V44" s="1"/>
      <c r="W44" s="1"/>
      <c r="X44" s="1"/>
      <c r="Y44" s="1"/>
      <c r="Z44" s="1"/>
      <c r="AA44" s="1"/>
      <c r="AB44" s="1"/>
      <c r="AC44" s="1"/>
    </row>
    <row r="45">
      <c r="A45" s="21"/>
      <c r="B45" s="21"/>
      <c r="C45" s="21"/>
      <c r="D45" s="21"/>
      <c r="E45" s="21"/>
      <c r="F45" s="21"/>
      <c r="G45" s="21"/>
      <c r="H45" s="21"/>
      <c r="I45" s="21"/>
      <c r="J45" s="21"/>
      <c r="K45" s="21"/>
      <c r="L45" s="21"/>
      <c r="M45" s="1"/>
      <c r="N45" s="1"/>
      <c r="O45" s="1"/>
      <c r="P45" s="1"/>
      <c r="Q45" s="1"/>
      <c r="R45" s="1"/>
      <c r="S45" s="1"/>
      <c r="T45" s="1"/>
      <c r="U45" s="1"/>
      <c r="V45" s="1"/>
      <c r="W45" s="1"/>
      <c r="X45" s="1"/>
      <c r="Y45" s="1"/>
      <c r="Z45" s="1"/>
      <c r="AA45" s="1"/>
      <c r="AB45" s="1"/>
      <c r="AC45" s="1"/>
    </row>
    <row r="46">
      <c r="A46" s="21"/>
      <c r="B46" s="21"/>
      <c r="C46" s="21"/>
      <c r="D46" s="21"/>
      <c r="E46" s="21"/>
      <c r="F46" s="21"/>
      <c r="G46" s="21"/>
      <c r="H46" s="21"/>
      <c r="I46" s="21"/>
      <c r="J46" s="21"/>
      <c r="K46" s="21"/>
      <c r="L46" s="21"/>
      <c r="M46" s="1"/>
      <c r="N46" s="1"/>
      <c r="O46" s="1"/>
      <c r="P46" s="1"/>
      <c r="Q46" s="1"/>
      <c r="R46" s="1"/>
      <c r="S46" s="1"/>
      <c r="T46" s="1"/>
      <c r="U46" s="1"/>
      <c r="V46" s="1"/>
      <c r="W46" s="1"/>
      <c r="X46" s="1"/>
      <c r="Y46" s="1"/>
      <c r="Z46" s="1"/>
      <c r="AA46" s="1"/>
      <c r="AB46" s="1"/>
      <c r="AC46" s="1"/>
    </row>
    <row r="47">
      <c r="A47" s="21"/>
      <c r="B47" s="21"/>
      <c r="C47" s="21"/>
      <c r="D47" s="21"/>
      <c r="E47" s="21"/>
      <c r="F47" s="21"/>
      <c r="G47" s="21"/>
      <c r="H47" s="21"/>
      <c r="I47" s="21"/>
      <c r="J47" s="21"/>
      <c r="K47" s="21"/>
      <c r="L47" s="21"/>
      <c r="M47" s="1"/>
      <c r="N47" s="1"/>
      <c r="O47" s="1"/>
      <c r="P47" s="1"/>
      <c r="Q47" s="1"/>
      <c r="R47" s="1"/>
      <c r="S47" s="1"/>
      <c r="T47" s="1"/>
      <c r="U47" s="1"/>
      <c r="V47" s="1"/>
      <c r="W47" s="1"/>
      <c r="X47" s="1"/>
      <c r="Y47" s="1"/>
      <c r="Z47" s="1"/>
      <c r="AA47" s="1"/>
      <c r="AB47" s="1"/>
      <c r="AC47" s="1"/>
    </row>
    <row r="48">
      <c r="A48" s="21"/>
      <c r="B48" s="21"/>
      <c r="C48" s="21"/>
      <c r="D48" s="21"/>
      <c r="E48" s="21"/>
      <c r="F48" s="21"/>
      <c r="G48" s="21"/>
      <c r="H48" s="21"/>
      <c r="I48" s="21"/>
      <c r="J48" s="21"/>
      <c r="K48" s="21"/>
      <c r="L48" s="2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sheetData>
  <mergeCells count="2">
    <mergeCell ref="G2:H2"/>
    <mergeCell ref="J2:K2"/>
  </mergeCells>
  <conditionalFormatting sqref="K10:K39">
    <cfRule type="cellIs" dxfId="0" priority="1" operator="equal">
      <formula>"P"</formula>
    </cfRule>
  </conditionalFormatting>
  <conditionalFormatting sqref="K9:K39">
    <cfRule type="cellIs" dxfId="1" priority="2" operator="equal">
      <formula>"F"</formula>
    </cfRule>
  </conditionalFormatting>
  <conditionalFormatting sqref="K10:K39">
    <cfRule type="cellIs" dxfId="2" priority="3" operator="equal">
      <formula>"NE"</formula>
    </cfRule>
  </conditionalFormatting>
  <conditionalFormatting sqref="K10:K39">
    <cfRule type="cellIs" dxfId="3" priority="4" operator="equal">
      <formula>"NA"</formula>
    </cfRule>
  </conditionalFormatting>
  <dataValidations>
    <dataValidation type="list" allowBlank="1" showErrorMessage="1" sqref="I10:I39">
      <formula1>"Negative,Positive"</formula1>
    </dataValidation>
    <dataValidation type="list" allowBlank="1" showErrorMessage="1" sqref="J10:J39">
      <formula1>"High,Medium,Low"</formula1>
    </dataValidation>
    <dataValidation type="list" allowBlank="1" showErrorMessage="1" sqref="K10:K39">
      <formula1>"P,F,NE,NA"</formula1>
    </dataValidation>
  </dataValidations>
  <hyperlinks>
    <hyperlink r:id="rId1" ref="E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20.88"/>
    <col customWidth="1" min="4" max="4" width="16.63"/>
    <col customWidth="1" min="6" max="6" width="23.38"/>
    <col customWidth="1" min="7" max="7" width="16.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175</v>
      </c>
      <c r="B2" s="1"/>
      <c r="C2" s="1"/>
      <c r="D2" s="3" t="s">
        <v>1</v>
      </c>
      <c r="E2" s="3" t="s">
        <v>2</v>
      </c>
      <c r="F2" s="3"/>
      <c r="G2" s="4" t="s">
        <v>3</v>
      </c>
      <c r="H2" s="5"/>
      <c r="I2" s="1"/>
      <c r="J2" s="4" t="s">
        <v>4</v>
      </c>
      <c r="K2" s="5"/>
      <c r="L2" s="1"/>
      <c r="M2" s="1"/>
      <c r="N2" s="1"/>
      <c r="O2" s="1"/>
      <c r="P2" s="1"/>
      <c r="Q2" s="1"/>
      <c r="R2" s="1"/>
      <c r="S2" s="1"/>
      <c r="T2" s="1"/>
      <c r="U2" s="1"/>
      <c r="V2" s="1"/>
      <c r="W2" s="1"/>
      <c r="X2" s="1"/>
      <c r="Y2" s="1"/>
      <c r="Z2" s="1"/>
    </row>
    <row r="3">
      <c r="A3" s="6" t="s">
        <v>5</v>
      </c>
      <c r="B3" s="2" t="s">
        <v>6</v>
      </c>
      <c r="C3" s="2"/>
      <c r="D3" s="7" t="s">
        <v>7</v>
      </c>
      <c r="E3" s="8">
        <f>COUNTIF(K10:K36, "P")</f>
        <v>20</v>
      </c>
      <c r="F3" s="9"/>
      <c r="G3" s="2" t="s">
        <v>8</v>
      </c>
      <c r="H3" s="10">
        <f>COUNTIF(I10:I36, "Positive")</f>
        <v>18</v>
      </c>
      <c r="I3" s="1"/>
      <c r="J3" s="2" t="s">
        <v>9</v>
      </c>
      <c r="K3" s="10">
        <f>COUNTIF(J10:J36, "High")</f>
        <v>15</v>
      </c>
      <c r="L3" s="1"/>
      <c r="M3" s="1"/>
      <c r="N3" s="1"/>
      <c r="O3" s="1"/>
      <c r="P3" s="1"/>
      <c r="Q3" s="1"/>
      <c r="R3" s="1"/>
      <c r="S3" s="1"/>
      <c r="T3" s="1"/>
      <c r="U3" s="1"/>
      <c r="V3" s="1"/>
      <c r="W3" s="1"/>
      <c r="X3" s="1"/>
      <c r="Y3" s="1"/>
      <c r="Z3" s="1"/>
    </row>
    <row r="4">
      <c r="A4" s="6" t="s">
        <v>10</v>
      </c>
      <c r="B4" s="1"/>
      <c r="C4" s="1"/>
      <c r="D4" s="11" t="s">
        <v>11</v>
      </c>
      <c r="E4" s="8">
        <f>COUNTIF(K11:K36, "F")</f>
        <v>2</v>
      </c>
      <c r="F4" s="9"/>
      <c r="G4" s="2" t="s">
        <v>12</v>
      </c>
      <c r="H4" s="10">
        <f>COUNTIF(I10:I36, "Negative")</f>
        <v>5</v>
      </c>
      <c r="I4" s="1"/>
      <c r="J4" s="2" t="s">
        <v>13</v>
      </c>
      <c r="K4" s="10">
        <f>COUNTIF(J11:J37, "Medium")</f>
        <v>7</v>
      </c>
      <c r="L4" s="1"/>
      <c r="M4" s="1"/>
      <c r="N4" s="1"/>
      <c r="O4" s="1"/>
      <c r="P4" s="1"/>
      <c r="Q4" s="1"/>
      <c r="R4" s="1"/>
      <c r="S4" s="1"/>
      <c r="T4" s="1"/>
      <c r="U4" s="1"/>
      <c r="V4" s="1"/>
      <c r="W4" s="1"/>
      <c r="X4" s="1"/>
      <c r="Y4" s="1"/>
      <c r="Z4" s="1"/>
    </row>
    <row r="5">
      <c r="A5" s="1"/>
      <c r="B5" s="1"/>
      <c r="C5" s="1"/>
      <c r="D5" s="12" t="s">
        <v>14</v>
      </c>
      <c r="E5" s="8">
        <f>COUNTIF(K12:K36, "NE")</f>
        <v>0</v>
      </c>
      <c r="F5" s="9"/>
      <c r="G5" s="6" t="s">
        <v>15</v>
      </c>
      <c r="H5" s="10">
        <f>SUM(H3:H4)</f>
        <v>23</v>
      </c>
      <c r="I5" s="1"/>
      <c r="J5" s="2" t="s">
        <v>16</v>
      </c>
      <c r="K5" s="10">
        <f>COUNTIF(J12:J38, "Low")</f>
        <v>1</v>
      </c>
      <c r="L5" s="1"/>
      <c r="M5" s="1"/>
      <c r="N5" s="1"/>
      <c r="O5" s="1"/>
      <c r="P5" s="1"/>
      <c r="Q5" s="1"/>
      <c r="R5" s="1"/>
      <c r="S5" s="1"/>
      <c r="T5" s="1"/>
      <c r="U5" s="1"/>
      <c r="V5" s="1"/>
      <c r="W5" s="1"/>
      <c r="X5" s="1"/>
      <c r="Y5" s="1"/>
      <c r="Z5" s="1"/>
    </row>
    <row r="6">
      <c r="A6" s="1"/>
      <c r="B6" s="1"/>
      <c r="C6" s="1"/>
      <c r="D6" s="13" t="s">
        <v>17</v>
      </c>
      <c r="E6" s="8">
        <f>COUNTIF(K13:K36, "NA")</f>
        <v>1</v>
      </c>
      <c r="F6" s="9"/>
      <c r="G6" s="1"/>
      <c r="H6" s="1"/>
      <c r="I6" s="1"/>
      <c r="J6" s="6" t="s">
        <v>15</v>
      </c>
      <c r="K6" s="10">
        <f>SUM(K3:K5)</f>
        <v>23</v>
      </c>
      <c r="L6" s="1"/>
      <c r="M6" s="1"/>
      <c r="N6" s="1"/>
      <c r="O6" s="1"/>
      <c r="P6" s="1"/>
      <c r="Q6" s="1"/>
      <c r="R6" s="1"/>
      <c r="S6" s="1"/>
      <c r="T6" s="1"/>
      <c r="U6" s="1"/>
      <c r="V6" s="1"/>
      <c r="W6" s="1"/>
      <c r="X6" s="1"/>
      <c r="Y6" s="1"/>
      <c r="Z6" s="1"/>
    </row>
    <row r="7">
      <c r="A7" s="1"/>
      <c r="B7" s="1"/>
      <c r="C7" s="1"/>
      <c r="D7" s="6" t="s">
        <v>15</v>
      </c>
      <c r="E7" s="10">
        <f>SUM(E3:E6)</f>
        <v>23</v>
      </c>
      <c r="F7" s="1"/>
      <c r="G7" s="1"/>
      <c r="H7" s="1"/>
      <c r="I7" s="1"/>
      <c r="J7" s="1"/>
      <c r="K7" s="1"/>
      <c r="L7" s="1"/>
      <c r="M7" s="1"/>
      <c r="N7" s="1"/>
      <c r="O7" s="1"/>
      <c r="P7" s="1"/>
      <c r="Q7" s="1"/>
      <c r="R7" s="1"/>
      <c r="S7" s="1"/>
      <c r="T7" s="1"/>
      <c r="U7" s="1"/>
      <c r="V7" s="1"/>
      <c r="W7" s="1"/>
      <c r="X7" s="1"/>
      <c r="Y7" s="1"/>
      <c r="Z7" s="1"/>
    </row>
    <row r="8">
      <c r="A8" s="20"/>
      <c r="B8" s="26"/>
      <c r="C8" s="26"/>
      <c r="D8" s="20"/>
      <c r="E8" s="20"/>
      <c r="F8" s="20"/>
      <c r="G8" s="20"/>
      <c r="H8" s="20"/>
      <c r="I8" s="20"/>
      <c r="J8" s="20"/>
      <c r="K8" s="20"/>
      <c r="L8" s="20"/>
      <c r="M8" s="27"/>
      <c r="N8" s="1"/>
      <c r="O8" s="1"/>
      <c r="P8" s="1"/>
      <c r="Q8" s="1"/>
      <c r="R8" s="1"/>
      <c r="S8" s="1"/>
      <c r="T8" s="1"/>
      <c r="U8" s="1"/>
      <c r="V8" s="1"/>
      <c r="W8" s="1"/>
      <c r="X8" s="1"/>
      <c r="Y8" s="1"/>
      <c r="Z8" s="1"/>
    </row>
    <row r="9">
      <c r="A9" s="15" t="s">
        <v>18</v>
      </c>
      <c r="B9" s="15" t="s">
        <v>176</v>
      </c>
      <c r="C9" s="15" t="s">
        <v>20</v>
      </c>
      <c r="D9" s="15" t="s">
        <v>21</v>
      </c>
      <c r="E9" s="15" t="s">
        <v>22</v>
      </c>
      <c r="F9" s="15" t="s">
        <v>23</v>
      </c>
      <c r="G9" s="15" t="s">
        <v>24</v>
      </c>
      <c r="H9" s="15" t="s">
        <v>25</v>
      </c>
      <c r="I9" s="15" t="s">
        <v>26</v>
      </c>
      <c r="J9" s="15" t="s">
        <v>27</v>
      </c>
      <c r="K9" s="15" t="s">
        <v>28</v>
      </c>
      <c r="L9" s="15" t="s">
        <v>29</v>
      </c>
      <c r="M9" s="10"/>
      <c r="N9" s="1"/>
      <c r="O9" s="1"/>
      <c r="P9" s="1"/>
      <c r="Q9" s="1"/>
      <c r="R9" s="1"/>
      <c r="S9" s="1"/>
      <c r="T9" s="1"/>
      <c r="U9" s="1"/>
      <c r="V9" s="1"/>
      <c r="W9" s="1"/>
      <c r="X9" s="1"/>
      <c r="Y9" s="1"/>
      <c r="Z9" s="1"/>
    </row>
    <row r="10">
      <c r="A10" s="28" t="s">
        <v>177</v>
      </c>
      <c r="B10" s="29" t="s">
        <v>178</v>
      </c>
      <c r="C10" s="17" t="s">
        <v>179</v>
      </c>
      <c r="D10" s="17" t="s">
        <v>180</v>
      </c>
      <c r="E10" s="22"/>
      <c r="F10" s="17" t="s">
        <v>181</v>
      </c>
      <c r="G10" s="17" t="s">
        <v>182</v>
      </c>
      <c r="H10" s="17" t="s">
        <v>183</v>
      </c>
      <c r="I10" s="17" t="s">
        <v>8</v>
      </c>
      <c r="J10" s="17" t="s">
        <v>9</v>
      </c>
      <c r="K10" s="17" t="s">
        <v>184</v>
      </c>
      <c r="L10" s="22"/>
      <c r="M10" s="1"/>
      <c r="N10" s="1"/>
      <c r="O10" s="1"/>
      <c r="P10" s="1"/>
      <c r="Q10" s="1"/>
      <c r="R10" s="1"/>
      <c r="S10" s="1"/>
      <c r="T10" s="1"/>
      <c r="U10" s="1"/>
      <c r="V10" s="1"/>
      <c r="W10" s="1"/>
      <c r="X10" s="1"/>
      <c r="Y10" s="1"/>
      <c r="Z10" s="1"/>
    </row>
    <row r="11">
      <c r="A11" s="28" t="s">
        <v>185</v>
      </c>
      <c r="B11" s="30"/>
      <c r="C11" s="17" t="s">
        <v>186</v>
      </c>
      <c r="D11" s="17" t="s">
        <v>187</v>
      </c>
      <c r="E11" s="22"/>
      <c r="F11" s="17" t="s">
        <v>188</v>
      </c>
      <c r="G11" s="17" t="s">
        <v>189</v>
      </c>
      <c r="H11" s="17" t="s">
        <v>190</v>
      </c>
      <c r="I11" s="17" t="s">
        <v>8</v>
      </c>
      <c r="J11" s="17" t="s">
        <v>9</v>
      </c>
      <c r="K11" s="17" t="s">
        <v>184</v>
      </c>
      <c r="L11" s="22"/>
      <c r="M11" s="1"/>
      <c r="N11" s="1"/>
      <c r="O11" s="1"/>
      <c r="P11" s="1"/>
      <c r="Q11" s="1"/>
      <c r="R11" s="1"/>
      <c r="S11" s="1"/>
      <c r="T11" s="1"/>
      <c r="U11" s="1"/>
      <c r="V11" s="1"/>
      <c r="W11" s="1"/>
      <c r="X11" s="1"/>
      <c r="Y11" s="1"/>
      <c r="Z11" s="1"/>
    </row>
    <row r="12">
      <c r="A12" s="28" t="s">
        <v>191</v>
      </c>
      <c r="B12" s="30"/>
      <c r="C12" s="17" t="s">
        <v>192</v>
      </c>
      <c r="D12" s="22"/>
      <c r="E12" s="17" t="s">
        <v>193</v>
      </c>
      <c r="F12" s="17" t="s">
        <v>194</v>
      </c>
      <c r="G12" s="17" t="s">
        <v>195</v>
      </c>
      <c r="H12" s="17" t="s">
        <v>196</v>
      </c>
      <c r="I12" s="17" t="s">
        <v>8</v>
      </c>
      <c r="J12" s="17" t="s">
        <v>13</v>
      </c>
      <c r="K12" s="17" t="s">
        <v>184</v>
      </c>
      <c r="L12" s="22"/>
      <c r="M12" s="1"/>
      <c r="N12" s="1"/>
      <c r="O12" s="1"/>
      <c r="P12" s="1"/>
      <c r="Q12" s="1"/>
      <c r="R12" s="1"/>
      <c r="S12" s="1"/>
      <c r="T12" s="1"/>
      <c r="U12" s="1"/>
      <c r="V12" s="1"/>
      <c r="W12" s="1"/>
      <c r="X12" s="1"/>
      <c r="Y12" s="1"/>
      <c r="Z12" s="1"/>
    </row>
    <row r="13">
      <c r="A13" s="28" t="s">
        <v>197</v>
      </c>
      <c r="B13" s="30"/>
      <c r="C13" s="17" t="s">
        <v>198</v>
      </c>
      <c r="D13" s="17" t="s">
        <v>199</v>
      </c>
      <c r="E13" s="17" t="s">
        <v>200</v>
      </c>
      <c r="F13" s="18" t="s">
        <v>201</v>
      </c>
      <c r="G13" s="17" t="s">
        <v>202</v>
      </c>
      <c r="H13" s="17" t="s">
        <v>203</v>
      </c>
      <c r="I13" s="17" t="s">
        <v>8</v>
      </c>
      <c r="J13" s="17" t="s">
        <v>9</v>
      </c>
      <c r="K13" s="17" t="s">
        <v>184</v>
      </c>
      <c r="L13" s="22"/>
      <c r="M13" s="1"/>
      <c r="N13" s="1"/>
      <c r="O13" s="1"/>
      <c r="P13" s="1"/>
      <c r="Q13" s="1"/>
      <c r="R13" s="1"/>
      <c r="S13" s="1"/>
      <c r="T13" s="1"/>
      <c r="U13" s="1"/>
      <c r="V13" s="1"/>
      <c r="W13" s="1"/>
      <c r="X13" s="1"/>
      <c r="Y13" s="1"/>
      <c r="Z13" s="1"/>
    </row>
    <row r="14">
      <c r="A14" s="28" t="s">
        <v>204</v>
      </c>
      <c r="B14" s="30"/>
      <c r="C14" s="17" t="s">
        <v>205</v>
      </c>
      <c r="D14" s="22"/>
      <c r="E14" s="19" t="s">
        <v>206</v>
      </c>
      <c r="F14" s="18" t="s">
        <v>207</v>
      </c>
      <c r="G14" s="17" t="s">
        <v>208</v>
      </c>
      <c r="H14" s="17" t="s">
        <v>203</v>
      </c>
      <c r="I14" s="17" t="s">
        <v>8</v>
      </c>
      <c r="J14" s="17" t="s">
        <v>9</v>
      </c>
      <c r="K14" s="17" t="s">
        <v>184</v>
      </c>
      <c r="L14" s="22"/>
      <c r="M14" s="1"/>
      <c r="N14" s="1"/>
      <c r="O14" s="1"/>
      <c r="P14" s="1"/>
      <c r="Q14" s="1"/>
      <c r="R14" s="1"/>
      <c r="S14" s="1"/>
      <c r="T14" s="1"/>
      <c r="U14" s="1"/>
      <c r="V14" s="1"/>
      <c r="W14" s="1"/>
      <c r="X14" s="1"/>
      <c r="Y14" s="1"/>
      <c r="Z14" s="1"/>
    </row>
    <row r="15">
      <c r="A15" s="28" t="s">
        <v>209</v>
      </c>
      <c r="B15" s="30"/>
      <c r="C15" s="17" t="s">
        <v>210</v>
      </c>
      <c r="D15" s="22"/>
      <c r="E15" s="22"/>
      <c r="F15" s="18" t="s">
        <v>211</v>
      </c>
      <c r="G15" s="17" t="s">
        <v>212</v>
      </c>
      <c r="H15" s="17" t="s">
        <v>203</v>
      </c>
      <c r="I15" s="17" t="s">
        <v>8</v>
      </c>
      <c r="J15" s="17" t="s">
        <v>9</v>
      </c>
      <c r="K15" s="17" t="s">
        <v>184</v>
      </c>
      <c r="L15" s="22"/>
      <c r="M15" s="1"/>
      <c r="N15" s="1"/>
      <c r="O15" s="1"/>
      <c r="P15" s="1"/>
      <c r="Q15" s="1"/>
      <c r="R15" s="1"/>
      <c r="S15" s="1"/>
      <c r="T15" s="1"/>
      <c r="U15" s="1"/>
      <c r="V15" s="1"/>
      <c r="W15" s="1"/>
      <c r="X15" s="1"/>
      <c r="Y15" s="1"/>
      <c r="Z15" s="1"/>
    </row>
    <row r="16">
      <c r="A16" s="28" t="s">
        <v>213</v>
      </c>
      <c r="B16" s="30"/>
      <c r="C16" s="17" t="s">
        <v>214</v>
      </c>
      <c r="D16" s="17" t="s">
        <v>215</v>
      </c>
      <c r="E16" s="22"/>
      <c r="F16" s="17" t="s">
        <v>216</v>
      </c>
      <c r="G16" s="17" t="s">
        <v>217</v>
      </c>
      <c r="H16" s="17" t="s">
        <v>174</v>
      </c>
      <c r="I16" s="17" t="s">
        <v>8</v>
      </c>
      <c r="J16" s="17" t="s">
        <v>16</v>
      </c>
      <c r="K16" s="17" t="s">
        <v>168</v>
      </c>
      <c r="L16" s="22"/>
      <c r="M16" s="1"/>
      <c r="N16" s="1"/>
      <c r="O16" s="1"/>
      <c r="P16" s="1"/>
      <c r="Q16" s="1"/>
      <c r="R16" s="1"/>
      <c r="S16" s="1"/>
      <c r="T16" s="1"/>
      <c r="U16" s="1"/>
      <c r="V16" s="1"/>
      <c r="W16" s="1"/>
      <c r="X16" s="1"/>
      <c r="Y16" s="1"/>
      <c r="Z16" s="1"/>
    </row>
    <row r="17">
      <c r="A17" s="28" t="s">
        <v>218</v>
      </c>
      <c r="B17" s="30"/>
      <c r="C17" s="17" t="s">
        <v>219</v>
      </c>
      <c r="D17" s="17"/>
      <c r="E17" s="17" t="s">
        <v>200</v>
      </c>
      <c r="F17" s="17" t="s">
        <v>220</v>
      </c>
      <c r="G17" s="17" t="s">
        <v>221</v>
      </c>
      <c r="H17" s="17" t="s">
        <v>203</v>
      </c>
      <c r="I17" s="17" t="s">
        <v>8</v>
      </c>
      <c r="J17" s="17" t="s">
        <v>9</v>
      </c>
      <c r="K17" s="17" t="s">
        <v>184</v>
      </c>
      <c r="L17" s="22"/>
      <c r="M17" s="1"/>
      <c r="N17" s="1"/>
      <c r="O17" s="1"/>
      <c r="P17" s="1"/>
      <c r="Q17" s="1"/>
      <c r="R17" s="1"/>
      <c r="S17" s="1"/>
      <c r="T17" s="1"/>
      <c r="U17" s="1"/>
      <c r="V17" s="1"/>
      <c r="W17" s="1"/>
      <c r="X17" s="1"/>
      <c r="Y17" s="1"/>
      <c r="Z17" s="1"/>
    </row>
    <row r="18" ht="99.0" customHeight="1">
      <c r="A18" s="28" t="s">
        <v>222</v>
      </c>
      <c r="B18" s="31"/>
      <c r="C18" s="17" t="s">
        <v>223</v>
      </c>
      <c r="D18" s="17" t="s">
        <v>199</v>
      </c>
      <c r="E18" s="17" t="s">
        <v>193</v>
      </c>
      <c r="F18" s="17" t="s">
        <v>224</v>
      </c>
      <c r="G18" s="17" t="s">
        <v>225</v>
      </c>
      <c r="H18" s="17" t="s">
        <v>226</v>
      </c>
      <c r="I18" s="17" t="s">
        <v>12</v>
      </c>
      <c r="J18" s="17" t="s">
        <v>9</v>
      </c>
      <c r="K18" s="17" t="s">
        <v>51</v>
      </c>
      <c r="L18" s="22"/>
      <c r="M18" s="1"/>
      <c r="N18" s="1"/>
      <c r="O18" s="1"/>
      <c r="P18" s="1"/>
      <c r="Q18" s="1"/>
      <c r="R18" s="1"/>
      <c r="S18" s="1"/>
      <c r="T18" s="1"/>
      <c r="U18" s="1"/>
      <c r="V18" s="1"/>
      <c r="W18" s="1"/>
      <c r="X18" s="1"/>
      <c r="Y18" s="1"/>
      <c r="Z18" s="1"/>
    </row>
    <row r="19">
      <c r="A19" s="28" t="s">
        <v>227</v>
      </c>
      <c r="B19" s="29" t="s">
        <v>228</v>
      </c>
      <c r="C19" s="17" t="s">
        <v>229</v>
      </c>
      <c r="D19" s="17" t="s">
        <v>230</v>
      </c>
      <c r="E19" s="17" t="s">
        <v>200</v>
      </c>
      <c r="F19" s="17" t="s">
        <v>231</v>
      </c>
      <c r="G19" s="17" t="s">
        <v>232</v>
      </c>
      <c r="H19" s="17" t="s">
        <v>203</v>
      </c>
      <c r="I19" s="17" t="s">
        <v>8</v>
      </c>
      <c r="J19" s="17" t="s">
        <v>9</v>
      </c>
      <c r="K19" s="17" t="s">
        <v>184</v>
      </c>
      <c r="L19" s="22"/>
      <c r="M19" s="1"/>
      <c r="N19" s="1"/>
      <c r="O19" s="1"/>
      <c r="P19" s="1"/>
      <c r="Q19" s="1"/>
      <c r="R19" s="1"/>
      <c r="S19" s="1"/>
      <c r="T19" s="1"/>
      <c r="U19" s="1"/>
      <c r="V19" s="1"/>
      <c r="W19" s="1"/>
      <c r="X19" s="1"/>
      <c r="Y19" s="1"/>
      <c r="Z19" s="1"/>
    </row>
    <row r="20">
      <c r="A20" s="28" t="s">
        <v>233</v>
      </c>
      <c r="B20" s="30"/>
      <c r="C20" s="17" t="s">
        <v>234</v>
      </c>
      <c r="D20" s="17" t="s">
        <v>235</v>
      </c>
      <c r="E20" s="17" t="s">
        <v>236</v>
      </c>
      <c r="F20" s="17" t="s">
        <v>237</v>
      </c>
      <c r="G20" s="17" t="s">
        <v>238</v>
      </c>
      <c r="H20" s="17" t="s">
        <v>203</v>
      </c>
      <c r="I20" s="17" t="s">
        <v>8</v>
      </c>
      <c r="J20" s="17" t="s">
        <v>9</v>
      </c>
      <c r="K20" s="17" t="s">
        <v>184</v>
      </c>
      <c r="L20" s="22"/>
      <c r="M20" s="1"/>
      <c r="N20" s="1"/>
      <c r="O20" s="1"/>
      <c r="P20" s="1"/>
      <c r="Q20" s="1"/>
      <c r="R20" s="1"/>
      <c r="S20" s="1"/>
      <c r="T20" s="1"/>
      <c r="U20" s="1"/>
      <c r="V20" s="1"/>
      <c r="W20" s="1"/>
      <c r="X20" s="1"/>
      <c r="Y20" s="1"/>
      <c r="Z20" s="1"/>
    </row>
    <row r="21">
      <c r="A21" s="28" t="s">
        <v>239</v>
      </c>
      <c r="B21" s="30"/>
      <c r="C21" s="17" t="s">
        <v>240</v>
      </c>
      <c r="D21" s="17"/>
      <c r="E21" s="17" t="s">
        <v>241</v>
      </c>
      <c r="F21" s="32" t="s">
        <v>242</v>
      </c>
      <c r="G21" s="17" t="s">
        <v>243</v>
      </c>
      <c r="H21" s="17" t="s">
        <v>203</v>
      </c>
      <c r="I21" s="17" t="s">
        <v>8</v>
      </c>
      <c r="J21" s="17" t="s">
        <v>9</v>
      </c>
      <c r="K21" s="17" t="s">
        <v>184</v>
      </c>
      <c r="L21" s="22"/>
      <c r="M21" s="1"/>
      <c r="N21" s="1"/>
      <c r="O21" s="1"/>
      <c r="P21" s="1"/>
      <c r="Q21" s="1"/>
      <c r="R21" s="1"/>
      <c r="S21" s="1"/>
      <c r="T21" s="1"/>
      <c r="U21" s="1"/>
      <c r="V21" s="1"/>
      <c r="W21" s="1"/>
      <c r="X21" s="1"/>
      <c r="Y21" s="1"/>
      <c r="Z21" s="1"/>
    </row>
    <row r="22" ht="138.0" customHeight="1">
      <c r="A22" s="28" t="s">
        <v>244</v>
      </c>
      <c r="B22" s="31"/>
      <c r="C22" s="17" t="s">
        <v>245</v>
      </c>
      <c r="D22" s="17" t="s">
        <v>235</v>
      </c>
      <c r="E22" s="18" t="s">
        <v>246</v>
      </c>
      <c r="F22" s="17" t="s">
        <v>247</v>
      </c>
      <c r="G22" s="17" t="s">
        <v>248</v>
      </c>
      <c r="H22" s="33" t="s">
        <v>249</v>
      </c>
      <c r="I22" s="17" t="s">
        <v>12</v>
      </c>
      <c r="J22" s="17" t="s">
        <v>9</v>
      </c>
      <c r="K22" s="17" t="s">
        <v>51</v>
      </c>
      <c r="L22" s="22"/>
      <c r="M22" s="1"/>
      <c r="N22" s="1"/>
      <c r="O22" s="1"/>
      <c r="P22" s="1"/>
      <c r="Q22" s="1"/>
      <c r="R22" s="1"/>
      <c r="S22" s="1"/>
      <c r="T22" s="1"/>
      <c r="U22" s="1"/>
      <c r="V22" s="1"/>
      <c r="W22" s="1"/>
      <c r="X22" s="1"/>
      <c r="Y22" s="1"/>
      <c r="Z22" s="1"/>
    </row>
    <row r="23">
      <c r="A23" s="28" t="s">
        <v>250</v>
      </c>
      <c r="B23" s="29" t="s">
        <v>251</v>
      </c>
      <c r="C23" s="17" t="s">
        <v>252</v>
      </c>
      <c r="D23" s="17" t="s">
        <v>235</v>
      </c>
      <c r="E23" s="18" t="s">
        <v>246</v>
      </c>
      <c r="F23" s="17" t="s">
        <v>253</v>
      </c>
      <c r="G23" s="17" t="s">
        <v>254</v>
      </c>
      <c r="H23" s="17" t="s">
        <v>203</v>
      </c>
      <c r="I23" s="17" t="s">
        <v>8</v>
      </c>
      <c r="J23" s="17" t="s">
        <v>9</v>
      </c>
      <c r="K23" s="17" t="s">
        <v>184</v>
      </c>
      <c r="L23" s="22"/>
      <c r="M23" s="1"/>
      <c r="N23" s="1"/>
      <c r="O23" s="1"/>
      <c r="P23" s="1"/>
      <c r="Q23" s="1"/>
      <c r="R23" s="1"/>
      <c r="S23" s="1"/>
      <c r="T23" s="1"/>
      <c r="U23" s="1"/>
      <c r="V23" s="1"/>
      <c r="W23" s="1"/>
      <c r="X23" s="1"/>
      <c r="Y23" s="1"/>
      <c r="Z23" s="1"/>
    </row>
    <row r="24">
      <c r="A24" s="28" t="s">
        <v>255</v>
      </c>
      <c r="B24" s="30"/>
      <c r="C24" s="17" t="s">
        <v>256</v>
      </c>
      <c r="D24" s="17" t="s">
        <v>235</v>
      </c>
      <c r="E24" s="17" t="s">
        <v>246</v>
      </c>
      <c r="F24" s="17" t="s">
        <v>257</v>
      </c>
      <c r="G24" s="17" t="s">
        <v>258</v>
      </c>
      <c r="H24" s="17" t="s">
        <v>203</v>
      </c>
      <c r="I24" s="17" t="s">
        <v>8</v>
      </c>
      <c r="J24" s="17" t="s">
        <v>9</v>
      </c>
      <c r="K24" s="17" t="s">
        <v>184</v>
      </c>
      <c r="L24" s="21"/>
      <c r="M24" s="1"/>
      <c r="N24" s="1"/>
      <c r="O24" s="1"/>
      <c r="P24" s="1"/>
      <c r="Q24" s="1"/>
      <c r="R24" s="1"/>
      <c r="S24" s="1"/>
      <c r="T24" s="1"/>
      <c r="U24" s="1"/>
      <c r="V24" s="1"/>
      <c r="W24" s="1"/>
      <c r="X24" s="1"/>
      <c r="Y24" s="1"/>
      <c r="Z24" s="1"/>
    </row>
    <row r="25">
      <c r="A25" s="28" t="s">
        <v>259</v>
      </c>
      <c r="B25" s="30"/>
      <c r="C25" s="17" t="s">
        <v>260</v>
      </c>
      <c r="D25" s="17" t="s">
        <v>261</v>
      </c>
      <c r="E25" s="17" t="s">
        <v>262</v>
      </c>
      <c r="F25" s="17" t="s">
        <v>263</v>
      </c>
      <c r="G25" s="17" t="s">
        <v>264</v>
      </c>
      <c r="H25" s="18" t="s">
        <v>203</v>
      </c>
      <c r="I25" s="18" t="s">
        <v>12</v>
      </c>
      <c r="J25" s="18" t="s">
        <v>9</v>
      </c>
      <c r="K25" s="18" t="s">
        <v>184</v>
      </c>
      <c r="L25" s="21"/>
      <c r="M25" s="1"/>
      <c r="N25" s="1"/>
      <c r="O25" s="1"/>
      <c r="P25" s="1"/>
      <c r="Q25" s="1"/>
      <c r="R25" s="1"/>
      <c r="S25" s="1"/>
      <c r="T25" s="1"/>
      <c r="U25" s="1"/>
      <c r="V25" s="1"/>
      <c r="W25" s="1"/>
      <c r="X25" s="1"/>
      <c r="Y25" s="1"/>
      <c r="Z25" s="1"/>
    </row>
    <row r="26" ht="75.75" customHeight="1">
      <c r="A26" s="28" t="s">
        <v>265</v>
      </c>
      <c r="B26" s="30"/>
      <c r="C26" s="17" t="s">
        <v>266</v>
      </c>
      <c r="D26" s="33" t="s">
        <v>267</v>
      </c>
      <c r="E26" s="17" t="s">
        <v>268</v>
      </c>
      <c r="F26" s="18" t="s">
        <v>269</v>
      </c>
      <c r="G26" s="17" t="s">
        <v>270</v>
      </c>
      <c r="H26" s="18" t="s">
        <v>203</v>
      </c>
      <c r="I26" s="18" t="s">
        <v>8</v>
      </c>
      <c r="J26" s="18" t="s">
        <v>13</v>
      </c>
      <c r="K26" s="18" t="s">
        <v>184</v>
      </c>
      <c r="L26" s="21"/>
      <c r="M26" s="1"/>
      <c r="N26" s="1"/>
      <c r="O26" s="1"/>
      <c r="P26" s="1"/>
      <c r="Q26" s="1"/>
      <c r="R26" s="1"/>
      <c r="S26" s="1"/>
      <c r="T26" s="1"/>
      <c r="U26" s="1"/>
      <c r="V26" s="1"/>
      <c r="W26" s="1"/>
      <c r="X26" s="1"/>
      <c r="Y26" s="1"/>
      <c r="Z26" s="1"/>
    </row>
    <row r="27" ht="75.75" customHeight="1">
      <c r="A27" s="28" t="s">
        <v>271</v>
      </c>
      <c r="B27" s="31"/>
      <c r="C27" s="17" t="s">
        <v>272</v>
      </c>
      <c r="D27" s="33" t="s">
        <v>273</v>
      </c>
      <c r="E27" s="17" t="s">
        <v>274</v>
      </c>
      <c r="F27" s="18" t="s">
        <v>275</v>
      </c>
      <c r="G27" s="17" t="s">
        <v>276</v>
      </c>
      <c r="H27" s="18" t="s">
        <v>203</v>
      </c>
      <c r="I27" s="18" t="s">
        <v>12</v>
      </c>
      <c r="J27" s="18" t="s">
        <v>9</v>
      </c>
      <c r="K27" s="18" t="s">
        <v>184</v>
      </c>
      <c r="L27" s="21"/>
      <c r="M27" s="1"/>
      <c r="N27" s="1"/>
      <c r="O27" s="1"/>
      <c r="P27" s="1"/>
      <c r="Q27" s="1"/>
      <c r="R27" s="1"/>
      <c r="S27" s="1"/>
      <c r="T27" s="1"/>
      <c r="U27" s="1"/>
      <c r="V27" s="1"/>
      <c r="W27" s="1"/>
      <c r="X27" s="1"/>
      <c r="Y27" s="1"/>
      <c r="Z27" s="1"/>
    </row>
    <row r="28">
      <c r="A28" s="28" t="s">
        <v>277</v>
      </c>
      <c r="B28" s="34" t="s">
        <v>278</v>
      </c>
      <c r="C28" s="17" t="s">
        <v>279</v>
      </c>
      <c r="D28" s="17" t="s">
        <v>235</v>
      </c>
      <c r="E28" s="18" t="s">
        <v>246</v>
      </c>
      <c r="F28" s="17" t="s">
        <v>280</v>
      </c>
      <c r="G28" s="17" t="s">
        <v>281</v>
      </c>
      <c r="H28" s="18" t="s">
        <v>203</v>
      </c>
      <c r="I28" s="18" t="s">
        <v>8</v>
      </c>
      <c r="J28" s="18" t="s">
        <v>13</v>
      </c>
      <c r="K28" s="18" t="s">
        <v>184</v>
      </c>
      <c r="L28" s="21"/>
      <c r="M28" s="1"/>
      <c r="N28" s="1"/>
      <c r="O28" s="1"/>
      <c r="P28" s="1"/>
      <c r="Q28" s="1"/>
      <c r="R28" s="1"/>
      <c r="S28" s="1"/>
      <c r="T28" s="1"/>
      <c r="U28" s="1"/>
      <c r="V28" s="1"/>
      <c r="W28" s="1"/>
      <c r="X28" s="1"/>
      <c r="Y28" s="1"/>
      <c r="Z28" s="1"/>
    </row>
    <row r="29">
      <c r="A29" s="28" t="s">
        <v>282</v>
      </c>
      <c r="B29" s="30"/>
      <c r="C29" s="17" t="s">
        <v>283</v>
      </c>
      <c r="D29" s="21"/>
      <c r="E29" s="18" t="s">
        <v>246</v>
      </c>
      <c r="F29" s="17" t="s">
        <v>284</v>
      </c>
      <c r="G29" s="17" t="s">
        <v>285</v>
      </c>
      <c r="H29" s="18" t="s">
        <v>203</v>
      </c>
      <c r="I29" s="18" t="s">
        <v>8</v>
      </c>
      <c r="J29" s="18" t="s">
        <v>13</v>
      </c>
      <c r="K29" s="18" t="s">
        <v>184</v>
      </c>
      <c r="L29" s="21"/>
      <c r="M29" s="1"/>
      <c r="N29" s="1"/>
      <c r="O29" s="1"/>
      <c r="P29" s="1"/>
      <c r="Q29" s="1"/>
      <c r="R29" s="1"/>
      <c r="S29" s="1"/>
      <c r="T29" s="1"/>
      <c r="U29" s="1"/>
      <c r="V29" s="1"/>
      <c r="W29" s="1"/>
      <c r="X29" s="1"/>
      <c r="Y29" s="1"/>
      <c r="Z29" s="1"/>
    </row>
    <row r="30">
      <c r="A30" s="28" t="s">
        <v>286</v>
      </c>
      <c r="B30" s="30"/>
      <c r="C30" s="17" t="s">
        <v>287</v>
      </c>
      <c r="D30" s="21"/>
      <c r="E30" s="21"/>
      <c r="F30" s="17" t="s">
        <v>288</v>
      </c>
      <c r="G30" s="17" t="s">
        <v>289</v>
      </c>
      <c r="H30" s="18" t="s">
        <v>203</v>
      </c>
      <c r="I30" s="18" t="s">
        <v>12</v>
      </c>
      <c r="J30" s="18" t="s">
        <v>13</v>
      </c>
      <c r="K30" s="18" t="s">
        <v>184</v>
      </c>
      <c r="L30" s="21"/>
      <c r="M30" s="1"/>
      <c r="N30" s="1"/>
      <c r="O30" s="1"/>
      <c r="P30" s="1"/>
      <c r="Q30" s="1"/>
      <c r="R30" s="1"/>
      <c r="S30" s="1"/>
      <c r="T30" s="1"/>
      <c r="U30" s="1"/>
      <c r="V30" s="1"/>
      <c r="W30" s="1"/>
      <c r="X30" s="1"/>
      <c r="Y30" s="1"/>
      <c r="Z30" s="1"/>
    </row>
    <row r="31">
      <c r="A31" s="28" t="s">
        <v>290</v>
      </c>
      <c r="B31" s="30"/>
      <c r="C31" s="17" t="s">
        <v>291</v>
      </c>
      <c r="D31" s="17" t="s">
        <v>292</v>
      </c>
      <c r="E31" s="21"/>
      <c r="F31" s="18" t="s">
        <v>293</v>
      </c>
      <c r="G31" s="17" t="s">
        <v>294</v>
      </c>
      <c r="H31" s="18" t="s">
        <v>203</v>
      </c>
      <c r="I31" s="18" t="s">
        <v>8</v>
      </c>
      <c r="J31" s="18" t="s">
        <v>13</v>
      </c>
      <c r="K31" s="18" t="s">
        <v>184</v>
      </c>
      <c r="L31" s="21"/>
      <c r="M31" s="1"/>
      <c r="N31" s="1"/>
      <c r="O31" s="1"/>
      <c r="P31" s="1"/>
      <c r="Q31" s="1"/>
      <c r="R31" s="1"/>
      <c r="S31" s="1"/>
      <c r="T31" s="1"/>
      <c r="U31" s="1"/>
      <c r="V31" s="1"/>
      <c r="W31" s="1"/>
      <c r="X31" s="1"/>
      <c r="Y31" s="1"/>
      <c r="Z31" s="1"/>
    </row>
    <row r="32">
      <c r="A32" s="28" t="s">
        <v>295</v>
      </c>
      <c r="B32" s="31"/>
      <c r="C32" s="17" t="s">
        <v>296</v>
      </c>
      <c r="D32" s="18" t="s">
        <v>235</v>
      </c>
      <c r="E32" s="18" t="s">
        <v>246</v>
      </c>
      <c r="F32" s="18" t="s">
        <v>297</v>
      </c>
      <c r="G32" s="17" t="s">
        <v>298</v>
      </c>
      <c r="H32" s="18" t="s">
        <v>203</v>
      </c>
      <c r="I32" s="18" t="s">
        <v>8</v>
      </c>
      <c r="J32" s="18" t="s">
        <v>13</v>
      </c>
      <c r="K32" s="18" t="s">
        <v>184</v>
      </c>
      <c r="L32" s="21"/>
      <c r="M32" s="1"/>
      <c r="N32" s="1"/>
      <c r="O32" s="1"/>
      <c r="P32" s="1"/>
      <c r="Q32" s="1"/>
      <c r="R32" s="1"/>
      <c r="S32" s="1"/>
      <c r="T32" s="1"/>
      <c r="U32" s="1"/>
      <c r="V32" s="1"/>
      <c r="W32" s="1"/>
      <c r="X32" s="1"/>
      <c r="Y32" s="1"/>
      <c r="Z32" s="1"/>
    </row>
    <row r="33">
      <c r="A33" s="21"/>
      <c r="B33" s="21"/>
      <c r="C33" s="21"/>
      <c r="D33" s="21"/>
      <c r="E33" s="21"/>
      <c r="F33" s="21"/>
      <c r="G33" s="21"/>
      <c r="H33" s="21"/>
      <c r="I33" s="21"/>
      <c r="J33" s="21"/>
      <c r="K33" s="21"/>
      <c r="L33" s="21"/>
      <c r="M33" s="1"/>
      <c r="N33" s="1"/>
      <c r="O33" s="1"/>
      <c r="P33" s="1"/>
      <c r="Q33" s="1"/>
      <c r="R33" s="1"/>
      <c r="S33" s="1"/>
      <c r="T33" s="1"/>
      <c r="U33" s="1"/>
      <c r="V33" s="1"/>
      <c r="W33" s="1"/>
      <c r="X33" s="1"/>
      <c r="Y33" s="1"/>
      <c r="Z33" s="1"/>
    </row>
    <row r="34">
      <c r="A34" s="21"/>
      <c r="B34" s="21"/>
      <c r="C34" s="21"/>
      <c r="D34" s="21"/>
      <c r="E34" s="21"/>
      <c r="F34" s="21"/>
      <c r="G34" s="21"/>
      <c r="H34" s="21"/>
      <c r="I34" s="21"/>
      <c r="J34" s="21"/>
      <c r="K34" s="21"/>
      <c r="L34" s="21"/>
      <c r="M34" s="1"/>
      <c r="N34" s="1"/>
      <c r="O34" s="1"/>
      <c r="P34" s="1"/>
      <c r="Q34" s="1"/>
      <c r="R34" s="1"/>
      <c r="S34" s="1"/>
      <c r="T34" s="1"/>
      <c r="U34" s="1"/>
      <c r="V34" s="1"/>
      <c r="W34" s="1"/>
      <c r="X34" s="1"/>
      <c r="Y34" s="1"/>
      <c r="Z34" s="1"/>
    </row>
    <row r="35">
      <c r="A35" s="21"/>
      <c r="B35" s="21"/>
      <c r="C35" s="21"/>
      <c r="D35" s="21"/>
      <c r="E35" s="21"/>
      <c r="F35" s="21"/>
      <c r="G35" s="21"/>
      <c r="H35" s="21"/>
      <c r="I35" s="21"/>
      <c r="J35" s="21"/>
      <c r="K35" s="21"/>
      <c r="L35" s="21"/>
      <c r="M35" s="1"/>
      <c r="N35" s="1"/>
      <c r="O35" s="1"/>
      <c r="P35" s="1"/>
      <c r="Q35" s="1"/>
      <c r="R35" s="1"/>
      <c r="S35" s="1"/>
      <c r="T35" s="1"/>
      <c r="U35" s="1"/>
      <c r="V35" s="1"/>
      <c r="W35" s="1"/>
      <c r="X35" s="1"/>
      <c r="Y35" s="1"/>
      <c r="Z35" s="1"/>
    </row>
    <row r="36">
      <c r="A36" s="21"/>
      <c r="B36" s="21"/>
      <c r="C36" s="21"/>
      <c r="D36" s="21"/>
      <c r="E36" s="21"/>
      <c r="F36" s="21"/>
      <c r="G36" s="21"/>
      <c r="H36" s="21"/>
      <c r="I36" s="21"/>
      <c r="J36" s="21"/>
      <c r="K36" s="21"/>
      <c r="L36" s="21"/>
      <c r="M36" s="1"/>
      <c r="N36" s="1"/>
      <c r="O36" s="1"/>
      <c r="P36" s="1"/>
      <c r="Q36" s="1"/>
      <c r="R36" s="1"/>
      <c r="S36" s="1"/>
      <c r="T36" s="1"/>
      <c r="U36" s="1"/>
      <c r="V36" s="1"/>
      <c r="W36" s="1"/>
      <c r="X36" s="1"/>
      <c r="Y36" s="1"/>
      <c r="Z36" s="1"/>
    </row>
    <row r="37">
      <c r="A37" s="21"/>
      <c r="B37" s="21"/>
      <c r="C37" s="21"/>
      <c r="D37" s="21"/>
      <c r="E37" s="21"/>
      <c r="F37" s="21"/>
      <c r="G37" s="21"/>
      <c r="H37" s="21"/>
      <c r="I37" s="21"/>
      <c r="J37" s="21"/>
      <c r="K37" s="21"/>
      <c r="L37" s="2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6">
    <mergeCell ref="G2:H2"/>
    <mergeCell ref="J2:K2"/>
    <mergeCell ref="B10:B18"/>
    <mergeCell ref="B19:B22"/>
    <mergeCell ref="B23:B27"/>
    <mergeCell ref="B28:B32"/>
  </mergeCells>
  <conditionalFormatting sqref="K8:K9">
    <cfRule type="cellIs" dxfId="1" priority="1" operator="equal">
      <formula>"F"</formula>
    </cfRule>
  </conditionalFormatting>
  <conditionalFormatting sqref="K10:K32">
    <cfRule type="cellIs" dxfId="0" priority="2" operator="equal">
      <formula>"P"</formula>
    </cfRule>
  </conditionalFormatting>
  <conditionalFormatting sqref="K10:K32">
    <cfRule type="cellIs" dxfId="1" priority="3" operator="equal">
      <formula>"F"</formula>
    </cfRule>
  </conditionalFormatting>
  <conditionalFormatting sqref="K10:K32">
    <cfRule type="cellIs" dxfId="4" priority="4" operator="equal">
      <formula>"NE"</formula>
    </cfRule>
  </conditionalFormatting>
  <conditionalFormatting sqref="K10:K32">
    <cfRule type="cellIs" dxfId="5" priority="5" operator="equal">
      <formula>"NA"</formula>
    </cfRule>
  </conditionalFormatting>
  <dataValidations>
    <dataValidation type="list" allowBlank="1" showErrorMessage="1" sqref="I10:I32">
      <formula1>"Negative,Positive"</formula1>
    </dataValidation>
    <dataValidation type="list" allowBlank="1" showErrorMessage="1" sqref="J10:J32">
      <formula1>"High,Medium,Low"</formula1>
    </dataValidation>
    <dataValidation type="list" allowBlank="1" showErrorMessage="1" sqref="K10:K32">
      <formula1>"p,F,NE,NA"</formula1>
    </dataValidation>
  </dataValidations>
  <hyperlinks>
    <hyperlink r:id="rId1" ref="E1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7.5"/>
    <col customWidth="1" min="3" max="3" width="25.0"/>
    <col customWidth="1" min="4" max="4" width="19.25"/>
    <col customWidth="1" min="5" max="5" width="19.88"/>
    <col customWidth="1" min="6" max="6" width="21.13"/>
    <col customWidth="1" min="7" max="7" width="16.88"/>
    <col customWidth="1" min="8" max="8" width="16.63"/>
    <col customWidth="1" min="9" max="9" width="16.13"/>
  </cols>
  <sheetData>
    <row r="1" ht="1.5" customHeight="1">
      <c r="A1" s="35"/>
    </row>
    <row r="2">
      <c r="A2" s="2" t="s">
        <v>299</v>
      </c>
      <c r="B2" s="1"/>
      <c r="C2" s="1"/>
      <c r="D2" s="3" t="s">
        <v>1</v>
      </c>
      <c r="E2" s="3" t="s">
        <v>2</v>
      </c>
      <c r="F2" s="3"/>
      <c r="G2" s="4" t="s">
        <v>3</v>
      </c>
      <c r="H2" s="5"/>
      <c r="I2" s="1"/>
      <c r="J2" s="4" t="s">
        <v>4</v>
      </c>
      <c r="K2" s="5"/>
      <c r="L2" s="1"/>
    </row>
    <row r="3">
      <c r="A3" s="6" t="s">
        <v>5</v>
      </c>
      <c r="B3" s="2" t="s">
        <v>6</v>
      </c>
      <c r="C3" s="2"/>
      <c r="D3" s="7" t="s">
        <v>7</v>
      </c>
      <c r="E3" s="36">
        <f>COUNTIF(K10:K65, "P")</f>
        <v>26</v>
      </c>
      <c r="F3" s="9"/>
      <c r="G3" s="2" t="s">
        <v>8</v>
      </c>
      <c r="H3" s="10">
        <f>COUNTIF(I10:I65, "Positive")</f>
        <v>33</v>
      </c>
      <c r="I3" s="1"/>
      <c r="J3" s="2" t="s">
        <v>9</v>
      </c>
      <c r="K3" s="10">
        <f>COUNTIF(J10:J65, "High")</f>
        <v>26</v>
      </c>
      <c r="L3" s="1"/>
    </row>
    <row r="4">
      <c r="A4" s="6" t="s">
        <v>10</v>
      </c>
      <c r="B4" s="1"/>
      <c r="C4" s="1"/>
      <c r="D4" s="11" t="s">
        <v>11</v>
      </c>
      <c r="E4" s="36">
        <f>COUNTIF(K10:K65, "F")</f>
        <v>10</v>
      </c>
      <c r="F4" s="9"/>
      <c r="G4" s="2" t="s">
        <v>12</v>
      </c>
      <c r="H4" s="10">
        <f>COUNTIF(I10:I65, "Negative")</f>
        <v>6</v>
      </c>
      <c r="I4" s="1"/>
      <c r="J4" s="2" t="s">
        <v>13</v>
      </c>
      <c r="K4" s="10">
        <f>COUNTIF(J10:J65, "Medium")</f>
        <v>10</v>
      </c>
      <c r="L4" s="1"/>
    </row>
    <row r="5">
      <c r="A5" s="1"/>
      <c r="B5" s="1"/>
      <c r="C5" s="1"/>
      <c r="D5" s="12" t="s">
        <v>14</v>
      </c>
      <c r="E5" s="36">
        <f>COUNTIF(K12:K65, "NE")</f>
        <v>0</v>
      </c>
      <c r="F5" s="9"/>
      <c r="G5" s="6" t="s">
        <v>15</v>
      </c>
      <c r="H5" s="10">
        <f>SUM(H3:H4)</f>
        <v>39</v>
      </c>
      <c r="I5" s="1"/>
      <c r="J5" s="2" t="s">
        <v>16</v>
      </c>
      <c r="K5" s="10">
        <f>COUNTIF(J10:J65, "Low")</f>
        <v>3</v>
      </c>
      <c r="L5" s="1"/>
    </row>
    <row r="6">
      <c r="A6" s="1"/>
      <c r="B6" s="1"/>
      <c r="C6" s="1"/>
      <c r="D6" s="13" t="s">
        <v>17</v>
      </c>
      <c r="E6" s="8">
        <f>COUNTIF(K10:K65, "NA")</f>
        <v>3</v>
      </c>
      <c r="F6" s="9"/>
      <c r="G6" s="1"/>
      <c r="H6" s="1"/>
      <c r="I6" s="1"/>
      <c r="J6" s="6" t="s">
        <v>15</v>
      </c>
      <c r="K6" s="10">
        <f>SUM(K3:K5)</f>
        <v>39</v>
      </c>
      <c r="L6" s="1"/>
    </row>
    <row r="7">
      <c r="A7" s="1"/>
      <c r="B7" s="1"/>
      <c r="C7" s="1"/>
      <c r="D7" s="6" t="s">
        <v>15</v>
      </c>
      <c r="E7" s="10">
        <f>SUM(E3:E6)</f>
        <v>39</v>
      </c>
      <c r="F7" s="1"/>
      <c r="G7" s="1"/>
      <c r="H7" s="1"/>
      <c r="I7" s="1"/>
      <c r="J7" s="1"/>
      <c r="K7" s="1"/>
      <c r="L7" s="1"/>
    </row>
    <row r="9">
      <c r="A9" s="15" t="s">
        <v>18</v>
      </c>
      <c r="B9" s="15" t="s">
        <v>176</v>
      </c>
      <c r="C9" s="15" t="s">
        <v>20</v>
      </c>
      <c r="D9" s="15" t="s">
        <v>21</v>
      </c>
      <c r="E9" s="15" t="s">
        <v>22</v>
      </c>
      <c r="F9" s="15" t="s">
        <v>23</v>
      </c>
      <c r="G9" s="15" t="s">
        <v>24</v>
      </c>
      <c r="H9" s="15" t="s">
        <v>25</v>
      </c>
      <c r="I9" s="15" t="s">
        <v>26</v>
      </c>
      <c r="J9" s="15" t="s">
        <v>27</v>
      </c>
      <c r="K9" s="15" t="s">
        <v>28</v>
      </c>
      <c r="L9" s="15" t="s">
        <v>29</v>
      </c>
      <c r="M9" s="1"/>
      <c r="N9" s="1"/>
      <c r="O9" s="1"/>
      <c r="P9" s="1"/>
      <c r="Q9" s="1"/>
      <c r="R9" s="1"/>
      <c r="S9" s="1"/>
      <c r="T9" s="1"/>
      <c r="U9" s="1"/>
      <c r="V9" s="1"/>
      <c r="W9" s="1"/>
      <c r="X9" s="1"/>
      <c r="Y9" s="1"/>
      <c r="Z9" s="1"/>
    </row>
    <row r="10">
      <c r="A10" s="28" t="s">
        <v>300</v>
      </c>
      <c r="B10" s="37" t="s">
        <v>301</v>
      </c>
      <c r="C10" s="17" t="s">
        <v>302</v>
      </c>
      <c r="D10" s="17" t="s">
        <v>303</v>
      </c>
      <c r="E10" s="17" t="s">
        <v>304</v>
      </c>
      <c r="F10" s="17" t="s">
        <v>305</v>
      </c>
      <c r="G10" s="17" t="s">
        <v>306</v>
      </c>
      <c r="H10" s="17" t="s">
        <v>307</v>
      </c>
      <c r="I10" s="18" t="s">
        <v>8</v>
      </c>
      <c r="J10" s="18" t="s">
        <v>9</v>
      </c>
      <c r="K10" s="16" t="s">
        <v>51</v>
      </c>
      <c r="L10" s="21"/>
      <c r="M10" s="1"/>
      <c r="N10" s="1"/>
      <c r="O10" s="1"/>
      <c r="P10" s="1"/>
      <c r="Q10" s="1"/>
      <c r="R10" s="1"/>
      <c r="S10" s="1"/>
      <c r="T10" s="1"/>
      <c r="U10" s="1"/>
      <c r="V10" s="1"/>
      <c r="W10" s="1"/>
      <c r="X10" s="1"/>
      <c r="Y10" s="1"/>
      <c r="Z10" s="1"/>
    </row>
    <row r="11">
      <c r="A11" s="28" t="s">
        <v>308</v>
      </c>
      <c r="B11" s="30"/>
      <c r="C11" s="17" t="s">
        <v>309</v>
      </c>
      <c r="D11" s="17" t="s">
        <v>303</v>
      </c>
      <c r="E11" s="17" t="s">
        <v>310</v>
      </c>
      <c r="F11" s="17" t="s">
        <v>311</v>
      </c>
      <c r="G11" s="17" t="s">
        <v>312</v>
      </c>
      <c r="H11" s="17" t="s">
        <v>313</v>
      </c>
      <c r="I11" s="18" t="s">
        <v>8</v>
      </c>
      <c r="J11" s="18" t="s">
        <v>9</v>
      </c>
      <c r="K11" s="16" t="s">
        <v>51</v>
      </c>
      <c r="L11" s="21"/>
      <c r="M11" s="1"/>
      <c r="N11" s="1"/>
      <c r="O11" s="1"/>
      <c r="P11" s="1"/>
      <c r="Q11" s="1"/>
      <c r="R11" s="1"/>
      <c r="S11" s="1"/>
      <c r="T11" s="1"/>
      <c r="U11" s="1"/>
      <c r="V11" s="1"/>
      <c r="W11" s="1"/>
      <c r="X11" s="1"/>
      <c r="Y11" s="1"/>
      <c r="Z11" s="1"/>
    </row>
    <row r="12">
      <c r="A12" s="28" t="s">
        <v>314</v>
      </c>
      <c r="B12" s="30"/>
      <c r="C12" s="17" t="s">
        <v>315</v>
      </c>
      <c r="D12" s="21"/>
      <c r="E12" s="18" t="s">
        <v>316</v>
      </c>
      <c r="F12" s="17" t="s">
        <v>317</v>
      </c>
      <c r="G12" s="17" t="s">
        <v>318</v>
      </c>
      <c r="H12" s="18" t="s">
        <v>174</v>
      </c>
      <c r="I12" s="18" t="s">
        <v>8</v>
      </c>
      <c r="J12" s="18" t="s">
        <v>9</v>
      </c>
      <c r="K12" s="16" t="s">
        <v>168</v>
      </c>
      <c r="L12" s="21"/>
      <c r="M12" s="1"/>
      <c r="N12" s="1"/>
      <c r="O12" s="1"/>
      <c r="P12" s="1"/>
      <c r="Q12" s="1"/>
      <c r="R12" s="1"/>
      <c r="S12" s="1"/>
      <c r="T12" s="1"/>
      <c r="U12" s="1"/>
      <c r="V12" s="1"/>
      <c r="W12" s="1"/>
      <c r="X12" s="1"/>
      <c r="Y12" s="1"/>
      <c r="Z12" s="1"/>
    </row>
    <row r="13">
      <c r="A13" s="28" t="s">
        <v>319</v>
      </c>
      <c r="B13" s="30"/>
      <c r="C13" s="17" t="s">
        <v>320</v>
      </c>
      <c r="D13" s="17" t="s">
        <v>321</v>
      </c>
      <c r="E13" s="18" t="s">
        <v>246</v>
      </c>
      <c r="F13" s="17" t="s">
        <v>322</v>
      </c>
      <c r="G13" s="17" t="s">
        <v>323</v>
      </c>
      <c r="H13" s="17" t="s">
        <v>324</v>
      </c>
      <c r="I13" s="18" t="s">
        <v>8</v>
      </c>
      <c r="J13" s="18" t="s">
        <v>13</v>
      </c>
      <c r="K13" s="16" t="s">
        <v>168</v>
      </c>
      <c r="L13" s="17" t="s">
        <v>325</v>
      </c>
      <c r="M13" s="1"/>
      <c r="N13" s="1"/>
      <c r="O13" s="1"/>
      <c r="P13" s="1"/>
      <c r="Q13" s="1"/>
      <c r="R13" s="1"/>
      <c r="S13" s="1"/>
      <c r="T13" s="1"/>
      <c r="U13" s="1"/>
      <c r="V13" s="1"/>
      <c r="W13" s="1"/>
      <c r="X13" s="1"/>
      <c r="Y13" s="1"/>
      <c r="Z13" s="1"/>
    </row>
    <row r="14">
      <c r="A14" s="28" t="s">
        <v>326</v>
      </c>
      <c r="B14" s="30"/>
      <c r="C14" s="17" t="s">
        <v>327</v>
      </c>
      <c r="D14" s="17" t="s">
        <v>303</v>
      </c>
      <c r="E14" s="18" t="s">
        <v>328</v>
      </c>
      <c r="F14" s="17" t="s">
        <v>329</v>
      </c>
      <c r="G14" s="17" t="s">
        <v>330</v>
      </c>
      <c r="H14" s="17" t="s">
        <v>331</v>
      </c>
      <c r="I14" s="18" t="s">
        <v>8</v>
      </c>
      <c r="J14" s="18" t="s">
        <v>16</v>
      </c>
      <c r="K14" s="16" t="s">
        <v>51</v>
      </c>
      <c r="L14" s="17" t="s">
        <v>332</v>
      </c>
      <c r="M14" s="1"/>
      <c r="N14" s="1"/>
      <c r="O14" s="1"/>
      <c r="P14" s="1"/>
      <c r="Q14" s="1"/>
      <c r="R14" s="1"/>
      <c r="S14" s="1"/>
      <c r="T14" s="1"/>
      <c r="U14" s="1"/>
      <c r="V14" s="1"/>
      <c r="W14" s="1"/>
      <c r="X14" s="1"/>
      <c r="Y14" s="1"/>
      <c r="Z14" s="1"/>
    </row>
    <row r="15">
      <c r="A15" s="28" t="s">
        <v>333</v>
      </c>
      <c r="B15" s="30"/>
      <c r="C15" s="17" t="s">
        <v>334</v>
      </c>
      <c r="D15" s="21"/>
      <c r="E15" s="18" t="s">
        <v>246</v>
      </c>
      <c r="F15" s="17" t="s">
        <v>335</v>
      </c>
      <c r="G15" s="17" t="s">
        <v>336</v>
      </c>
      <c r="H15" s="17" t="s">
        <v>337</v>
      </c>
      <c r="I15" s="18" t="s">
        <v>12</v>
      </c>
      <c r="J15" s="18" t="s">
        <v>9</v>
      </c>
      <c r="K15" s="16" t="s">
        <v>38</v>
      </c>
      <c r="L15" s="21"/>
      <c r="M15" s="1"/>
      <c r="N15" s="1"/>
      <c r="O15" s="1"/>
      <c r="P15" s="1"/>
      <c r="Q15" s="1"/>
      <c r="R15" s="1"/>
      <c r="S15" s="1"/>
      <c r="T15" s="1"/>
      <c r="U15" s="1"/>
      <c r="V15" s="1"/>
      <c r="W15" s="1"/>
      <c r="X15" s="1"/>
      <c r="Y15" s="1"/>
      <c r="Z15" s="1"/>
    </row>
    <row r="16">
      <c r="A16" s="16" t="s">
        <v>338</v>
      </c>
      <c r="B16" s="30"/>
      <c r="C16" s="17" t="s">
        <v>339</v>
      </c>
      <c r="D16" s="21"/>
      <c r="E16" s="18" t="s">
        <v>340</v>
      </c>
      <c r="F16" s="17" t="s">
        <v>341</v>
      </c>
      <c r="G16" s="17" t="s">
        <v>342</v>
      </c>
      <c r="H16" s="17" t="s">
        <v>343</v>
      </c>
      <c r="I16" s="18" t="s">
        <v>12</v>
      </c>
      <c r="J16" s="18" t="s">
        <v>9</v>
      </c>
      <c r="K16" s="16" t="s">
        <v>51</v>
      </c>
      <c r="L16" s="21"/>
      <c r="M16" s="1"/>
      <c r="N16" s="1"/>
      <c r="O16" s="1"/>
      <c r="P16" s="1"/>
      <c r="Q16" s="1"/>
      <c r="R16" s="1"/>
      <c r="S16" s="1"/>
      <c r="T16" s="1"/>
      <c r="U16" s="1"/>
      <c r="V16" s="1"/>
      <c r="W16" s="1"/>
      <c r="X16" s="1"/>
      <c r="Y16" s="1"/>
      <c r="Z16" s="1"/>
    </row>
    <row r="17">
      <c r="A17" s="16" t="s">
        <v>344</v>
      </c>
      <c r="B17" s="30"/>
      <c r="C17" s="17" t="s">
        <v>345</v>
      </c>
      <c r="D17" s="21"/>
      <c r="E17" s="17" t="s">
        <v>346</v>
      </c>
      <c r="F17" s="17" t="s">
        <v>347</v>
      </c>
      <c r="G17" s="17" t="s">
        <v>348</v>
      </c>
      <c r="H17" s="17" t="s">
        <v>343</v>
      </c>
      <c r="I17" s="18" t="s">
        <v>12</v>
      </c>
      <c r="J17" s="18" t="s">
        <v>9</v>
      </c>
      <c r="K17" s="16" t="s">
        <v>51</v>
      </c>
      <c r="L17" s="21"/>
      <c r="M17" s="1"/>
      <c r="N17" s="1"/>
      <c r="O17" s="1"/>
      <c r="P17" s="1"/>
      <c r="Q17" s="1"/>
      <c r="R17" s="1"/>
      <c r="S17" s="1"/>
      <c r="T17" s="1"/>
      <c r="U17" s="1"/>
      <c r="V17" s="1"/>
      <c r="W17" s="1"/>
      <c r="X17" s="1"/>
      <c r="Y17" s="1"/>
      <c r="Z17" s="1"/>
    </row>
    <row r="18" ht="72.75" customHeight="1">
      <c r="A18" s="16" t="s">
        <v>349</v>
      </c>
      <c r="B18" s="31"/>
      <c r="C18" s="17" t="s">
        <v>350</v>
      </c>
      <c r="D18" s="21"/>
      <c r="E18" s="17" t="s">
        <v>351</v>
      </c>
      <c r="F18" s="17" t="s">
        <v>352</v>
      </c>
      <c r="G18" s="17" t="s">
        <v>353</v>
      </c>
      <c r="H18" s="17" t="s">
        <v>343</v>
      </c>
      <c r="I18" s="18" t="s">
        <v>12</v>
      </c>
      <c r="J18" s="18" t="s">
        <v>9</v>
      </c>
      <c r="K18" s="16" t="s">
        <v>51</v>
      </c>
      <c r="L18" s="21"/>
      <c r="M18" s="1"/>
      <c r="N18" s="1"/>
      <c r="O18" s="1"/>
      <c r="P18" s="1"/>
      <c r="Q18" s="1"/>
      <c r="R18" s="1"/>
      <c r="S18" s="1"/>
      <c r="T18" s="1"/>
      <c r="U18" s="1"/>
      <c r="V18" s="1"/>
      <c r="W18" s="1"/>
      <c r="X18" s="1"/>
      <c r="Y18" s="1"/>
      <c r="Z18" s="1"/>
    </row>
    <row r="19">
      <c r="A19" s="16" t="s">
        <v>354</v>
      </c>
      <c r="B19" s="37" t="s">
        <v>355</v>
      </c>
      <c r="C19" s="17" t="s">
        <v>356</v>
      </c>
      <c r="D19" s="18" t="s">
        <v>357</v>
      </c>
      <c r="E19" s="18" t="s">
        <v>246</v>
      </c>
      <c r="F19" s="17" t="s">
        <v>358</v>
      </c>
      <c r="G19" s="17" t="s">
        <v>359</v>
      </c>
      <c r="H19" s="18" t="s">
        <v>203</v>
      </c>
      <c r="I19" s="18" t="s">
        <v>8</v>
      </c>
      <c r="J19" s="18" t="s">
        <v>9</v>
      </c>
      <c r="K19" s="16" t="s">
        <v>38</v>
      </c>
      <c r="L19" s="21"/>
      <c r="M19" s="1"/>
      <c r="N19" s="1"/>
      <c r="O19" s="1"/>
      <c r="P19" s="1"/>
      <c r="Q19" s="1"/>
      <c r="R19" s="1"/>
      <c r="S19" s="1"/>
      <c r="T19" s="1"/>
      <c r="U19" s="1"/>
      <c r="V19" s="1"/>
      <c r="W19" s="1"/>
      <c r="X19" s="1"/>
      <c r="Y19" s="1"/>
      <c r="Z19" s="1"/>
    </row>
    <row r="20">
      <c r="A20" s="16" t="s">
        <v>360</v>
      </c>
      <c r="B20" s="30"/>
      <c r="C20" s="17" t="s">
        <v>361</v>
      </c>
      <c r="D20" s="21"/>
      <c r="E20" s="18" t="s">
        <v>246</v>
      </c>
      <c r="F20" s="17" t="s">
        <v>362</v>
      </c>
      <c r="G20" s="17" t="s">
        <v>363</v>
      </c>
      <c r="H20" s="18" t="s">
        <v>203</v>
      </c>
      <c r="I20" s="18" t="s">
        <v>8</v>
      </c>
      <c r="J20" s="18" t="s">
        <v>9</v>
      </c>
      <c r="K20" s="16" t="s">
        <v>38</v>
      </c>
      <c r="L20" s="21"/>
      <c r="M20" s="1"/>
      <c r="N20" s="1"/>
      <c r="O20" s="1"/>
      <c r="P20" s="1"/>
      <c r="Q20" s="1"/>
      <c r="R20" s="1"/>
      <c r="S20" s="1"/>
      <c r="T20" s="1"/>
      <c r="U20" s="1"/>
      <c r="V20" s="1"/>
      <c r="W20" s="1"/>
      <c r="X20" s="1"/>
      <c r="Y20" s="1"/>
      <c r="Z20" s="1"/>
    </row>
    <row r="21">
      <c r="A21" s="16" t="s">
        <v>364</v>
      </c>
      <c r="B21" s="30"/>
      <c r="C21" s="17" t="s">
        <v>365</v>
      </c>
      <c r="D21" s="21"/>
      <c r="E21" s="21"/>
      <c r="F21" s="17" t="s">
        <v>366</v>
      </c>
      <c r="G21" s="17" t="s">
        <v>367</v>
      </c>
      <c r="H21" s="18" t="s">
        <v>203</v>
      </c>
      <c r="I21" s="18" t="s">
        <v>8</v>
      </c>
      <c r="J21" s="18" t="s">
        <v>9</v>
      </c>
      <c r="K21" s="16" t="s">
        <v>38</v>
      </c>
      <c r="L21" s="21"/>
      <c r="M21" s="1"/>
      <c r="N21" s="1"/>
      <c r="O21" s="1"/>
      <c r="P21" s="1"/>
      <c r="Q21" s="1"/>
      <c r="R21" s="1"/>
      <c r="S21" s="1"/>
      <c r="T21" s="1"/>
      <c r="U21" s="1"/>
      <c r="V21" s="1"/>
      <c r="W21" s="1"/>
      <c r="X21" s="1"/>
      <c r="Y21" s="1"/>
      <c r="Z21" s="1"/>
    </row>
    <row r="22">
      <c r="A22" s="16" t="s">
        <v>368</v>
      </c>
      <c r="B22" s="30"/>
      <c r="C22" s="17" t="s">
        <v>369</v>
      </c>
      <c r="D22" s="38" t="s">
        <v>370</v>
      </c>
      <c r="E22" s="38" t="s">
        <v>371</v>
      </c>
      <c r="F22" s="17" t="s">
        <v>372</v>
      </c>
      <c r="G22" s="17" t="s">
        <v>373</v>
      </c>
      <c r="H22" s="18" t="s">
        <v>203</v>
      </c>
      <c r="I22" s="18" t="s">
        <v>8</v>
      </c>
      <c r="J22" s="18" t="s">
        <v>9</v>
      </c>
      <c r="K22" s="16" t="s">
        <v>38</v>
      </c>
      <c r="L22" s="21"/>
      <c r="M22" s="1"/>
      <c r="N22" s="1"/>
      <c r="O22" s="1"/>
      <c r="P22" s="1"/>
      <c r="Q22" s="1"/>
      <c r="R22" s="1"/>
      <c r="S22" s="1"/>
      <c r="T22" s="1"/>
      <c r="U22" s="1"/>
      <c r="V22" s="1"/>
      <c r="W22" s="1"/>
      <c r="X22" s="1"/>
      <c r="Y22" s="1"/>
      <c r="Z22" s="1"/>
    </row>
    <row r="23">
      <c r="A23" s="16" t="s">
        <v>374</v>
      </c>
      <c r="B23" s="30"/>
      <c r="C23" s="17" t="s">
        <v>375</v>
      </c>
      <c r="D23" s="38" t="s">
        <v>376</v>
      </c>
      <c r="E23" s="38"/>
      <c r="F23" s="17" t="s">
        <v>377</v>
      </c>
      <c r="G23" s="17" t="s">
        <v>378</v>
      </c>
      <c r="H23" s="17" t="s">
        <v>203</v>
      </c>
      <c r="I23" s="18" t="s">
        <v>12</v>
      </c>
      <c r="J23" s="18" t="s">
        <v>9</v>
      </c>
      <c r="K23" s="16" t="s">
        <v>38</v>
      </c>
      <c r="L23" s="21"/>
      <c r="M23" s="1"/>
      <c r="N23" s="1"/>
      <c r="O23" s="1"/>
      <c r="P23" s="1"/>
      <c r="Q23" s="1"/>
      <c r="R23" s="1"/>
      <c r="S23" s="1"/>
      <c r="T23" s="1"/>
      <c r="U23" s="1"/>
      <c r="V23" s="1"/>
      <c r="W23" s="1"/>
      <c r="X23" s="1"/>
      <c r="Y23" s="1"/>
      <c r="Z23" s="1"/>
    </row>
    <row r="24">
      <c r="A24" s="16" t="s">
        <v>379</v>
      </c>
      <c r="B24" s="31"/>
      <c r="C24" s="17" t="s">
        <v>380</v>
      </c>
      <c r="D24" s="38" t="s">
        <v>381</v>
      </c>
      <c r="E24" s="38" t="s">
        <v>246</v>
      </c>
      <c r="F24" s="17" t="s">
        <v>382</v>
      </c>
      <c r="G24" s="17" t="s">
        <v>383</v>
      </c>
      <c r="H24" s="17" t="s">
        <v>384</v>
      </c>
      <c r="I24" s="18" t="s">
        <v>12</v>
      </c>
      <c r="J24" s="18" t="s">
        <v>13</v>
      </c>
      <c r="K24" s="16" t="s">
        <v>168</v>
      </c>
      <c r="L24" s="21"/>
      <c r="M24" s="1"/>
      <c r="N24" s="1"/>
      <c r="O24" s="1"/>
      <c r="P24" s="1"/>
      <c r="Q24" s="1"/>
      <c r="R24" s="1"/>
      <c r="S24" s="1"/>
      <c r="T24" s="1"/>
      <c r="U24" s="1"/>
      <c r="V24" s="1"/>
      <c r="W24" s="1"/>
      <c r="X24" s="1"/>
      <c r="Y24" s="1"/>
      <c r="Z24" s="1"/>
    </row>
    <row r="25">
      <c r="A25" s="16" t="s">
        <v>385</v>
      </c>
      <c r="B25" s="37" t="s">
        <v>386</v>
      </c>
      <c r="C25" s="17" t="s">
        <v>387</v>
      </c>
      <c r="D25" s="21"/>
      <c r="E25" s="18" t="s">
        <v>246</v>
      </c>
      <c r="F25" s="17" t="s">
        <v>388</v>
      </c>
      <c r="G25" s="17" t="s">
        <v>389</v>
      </c>
      <c r="H25" s="18" t="s">
        <v>203</v>
      </c>
      <c r="I25" s="18" t="s">
        <v>8</v>
      </c>
      <c r="J25" s="18" t="s">
        <v>13</v>
      </c>
      <c r="K25" s="16" t="s">
        <v>38</v>
      </c>
      <c r="L25" s="21"/>
      <c r="M25" s="1"/>
      <c r="N25" s="1"/>
      <c r="O25" s="1"/>
      <c r="P25" s="1"/>
      <c r="Q25" s="1"/>
      <c r="R25" s="1"/>
      <c r="S25" s="1"/>
      <c r="T25" s="1"/>
      <c r="U25" s="1"/>
      <c r="V25" s="1"/>
      <c r="W25" s="1"/>
      <c r="X25" s="1"/>
      <c r="Y25" s="1"/>
      <c r="Z25" s="1"/>
    </row>
    <row r="26">
      <c r="A26" s="16" t="s">
        <v>390</v>
      </c>
      <c r="B26" s="30"/>
      <c r="C26" s="17" t="s">
        <v>391</v>
      </c>
      <c r="D26" s="18" t="s">
        <v>392</v>
      </c>
      <c r="E26" s="18" t="s">
        <v>246</v>
      </c>
      <c r="F26" s="17" t="s">
        <v>393</v>
      </c>
      <c r="G26" s="17" t="s">
        <v>394</v>
      </c>
      <c r="H26" s="17" t="s">
        <v>395</v>
      </c>
      <c r="I26" s="18" t="s">
        <v>8</v>
      </c>
      <c r="J26" s="18" t="s">
        <v>13</v>
      </c>
      <c r="K26" s="16" t="s">
        <v>51</v>
      </c>
      <c r="L26" s="21"/>
      <c r="M26" s="1"/>
      <c r="N26" s="1"/>
      <c r="O26" s="1"/>
      <c r="P26" s="1"/>
      <c r="Q26" s="1"/>
      <c r="R26" s="1"/>
      <c r="S26" s="1"/>
      <c r="T26" s="1"/>
      <c r="U26" s="1"/>
      <c r="V26" s="1"/>
      <c r="W26" s="1"/>
      <c r="X26" s="1"/>
      <c r="Y26" s="1"/>
      <c r="Z26" s="1"/>
    </row>
    <row r="27">
      <c r="A27" s="16" t="s">
        <v>396</v>
      </c>
      <c r="B27" s="30"/>
      <c r="C27" s="17" t="s">
        <v>397</v>
      </c>
      <c r="D27" s="17" t="s">
        <v>398</v>
      </c>
      <c r="E27" s="18" t="s">
        <v>246</v>
      </c>
      <c r="F27" s="18" t="s">
        <v>399</v>
      </c>
      <c r="G27" s="17" t="s">
        <v>400</v>
      </c>
      <c r="H27" s="18" t="s">
        <v>203</v>
      </c>
      <c r="I27" s="18" t="s">
        <v>8</v>
      </c>
      <c r="J27" s="18" t="s">
        <v>9</v>
      </c>
      <c r="K27" s="16" t="s">
        <v>38</v>
      </c>
      <c r="L27" s="21"/>
      <c r="M27" s="1"/>
      <c r="N27" s="1"/>
      <c r="O27" s="1"/>
      <c r="P27" s="1"/>
      <c r="Q27" s="1"/>
      <c r="R27" s="1"/>
      <c r="S27" s="1"/>
      <c r="T27" s="1"/>
      <c r="U27" s="1"/>
      <c r="V27" s="1"/>
      <c r="W27" s="1"/>
      <c r="X27" s="1"/>
      <c r="Y27" s="1"/>
      <c r="Z27" s="1"/>
    </row>
    <row r="28">
      <c r="A28" s="16" t="s">
        <v>401</v>
      </c>
      <c r="B28" s="30"/>
      <c r="C28" s="17" t="s">
        <v>402</v>
      </c>
      <c r="D28" s="21"/>
      <c r="E28" s="18" t="s">
        <v>246</v>
      </c>
      <c r="F28" s="17" t="s">
        <v>403</v>
      </c>
      <c r="G28" s="17" t="s">
        <v>404</v>
      </c>
      <c r="H28" s="21"/>
      <c r="I28" s="18" t="s">
        <v>8</v>
      </c>
      <c r="J28" s="18" t="s">
        <v>13</v>
      </c>
      <c r="K28" s="16" t="s">
        <v>38</v>
      </c>
      <c r="L28" s="21"/>
      <c r="M28" s="1"/>
      <c r="N28" s="1"/>
      <c r="O28" s="1"/>
      <c r="P28" s="1"/>
      <c r="Q28" s="1"/>
      <c r="R28" s="1"/>
      <c r="S28" s="1"/>
      <c r="T28" s="1"/>
      <c r="U28" s="1"/>
      <c r="V28" s="1"/>
      <c r="W28" s="1"/>
      <c r="X28" s="1"/>
      <c r="Y28" s="1"/>
      <c r="Z28" s="1"/>
    </row>
    <row r="29">
      <c r="A29" s="16" t="s">
        <v>405</v>
      </c>
      <c r="B29" s="30"/>
      <c r="C29" s="17" t="s">
        <v>406</v>
      </c>
      <c r="D29" s="21"/>
      <c r="E29" s="18" t="s">
        <v>246</v>
      </c>
      <c r="F29" s="17" t="s">
        <v>403</v>
      </c>
      <c r="G29" s="17" t="s">
        <v>407</v>
      </c>
      <c r="H29" s="18" t="s">
        <v>203</v>
      </c>
      <c r="I29" s="18" t="s">
        <v>8</v>
      </c>
      <c r="J29" s="18" t="s">
        <v>13</v>
      </c>
      <c r="K29" s="16" t="s">
        <v>38</v>
      </c>
      <c r="L29" s="21"/>
      <c r="M29" s="1"/>
      <c r="N29" s="1"/>
      <c r="O29" s="1"/>
      <c r="P29" s="1"/>
      <c r="Q29" s="1"/>
      <c r="R29" s="1"/>
      <c r="S29" s="1"/>
      <c r="T29" s="1"/>
      <c r="U29" s="1"/>
      <c r="V29" s="1"/>
      <c r="W29" s="1"/>
      <c r="X29" s="1"/>
      <c r="Y29" s="1"/>
      <c r="Z29" s="1"/>
    </row>
    <row r="30">
      <c r="A30" s="16" t="s">
        <v>408</v>
      </c>
      <c r="B30" s="31"/>
      <c r="C30" s="17" t="s">
        <v>409</v>
      </c>
      <c r="D30" s="17" t="s">
        <v>410</v>
      </c>
      <c r="E30" s="18" t="s">
        <v>246</v>
      </c>
      <c r="F30" s="17" t="s">
        <v>411</v>
      </c>
      <c r="G30" s="17" t="s">
        <v>412</v>
      </c>
      <c r="H30" s="18" t="s">
        <v>203</v>
      </c>
      <c r="I30" s="18" t="s">
        <v>8</v>
      </c>
      <c r="J30" s="18" t="s">
        <v>13</v>
      </c>
      <c r="K30" s="16" t="s">
        <v>38</v>
      </c>
      <c r="L30" s="21"/>
      <c r="M30" s="1"/>
      <c r="N30" s="1"/>
      <c r="O30" s="1"/>
      <c r="P30" s="1"/>
      <c r="Q30" s="1"/>
      <c r="R30" s="1"/>
      <c r="S30" s="1"/>
      <c r="T30" s="1"/>
      <c r="U30" s="1"/>
      <c r="V30" s="1"/>
      <c r="W30" s="1"/>
      <c r="X30" s="1"/>
      <c r="Y30" s="1"/>
      <c r="Z30" s="1"/>
    </row>
    <row r="31">
      <c r="A31" s="16" t="s">
        <v>413</v>
      </c>
      <c r="B31" s="37" t="s">
        <v>414</v>
      </c>
      <c r="C31" s="17" t="s">
        <v>415</v>
      </c>
      <c r="D31" s="21"/>
      <c r="E31" s="18" t="s">
        <v>246</v>
      </c>
      <c r="F31" s="18" t="s">
        <v>416</v>
      </c>
      <c r="G31" s="17" t="s">
        <v>417</v>
      </c>
      <c r="H31" s="18" t="s">
        <v>203</v>
      </c>
      <c r="I31" s="18" t="s">
        <v>8</v>
      </c>
      <c r="J31" s="18" t="s">
        <v>9</v>
      </c>
      <c r="K31" s="16" t="s">
        <v>38</v>
      </c>
      <c r="L31" s="21"/>
      <c r="M31" s="1"/>
      <c r="N31" s="1"/>
      <c r="O31" s="1"/>
      <c r="P31" s="1"/>
      <c r="Q31" s="1"/>
      <c r="R31" s="1"/>
      <c r="S31" s="1"/>
      <c r="T31" s="1"/>
      <c r="U31" s="1"/>
      <c r="V31" s="1"/>
      <c r="W31" s="1"/>
      <c r="X31" s="1"/>
      <c r="Y31" s="1"/>
      <c r="Z31" s="1"/>
    </row>
    <row r="32">
      <c r="A32" s="6" t="s">
        <v>418</v>
      </c>
      <c r="B32" s="30"/>
      <c r="C32" s="38" t="s">
        <v>419</v>
      </c>
      <c r="D32" s="1"/>
      <c r="E32" s="18" t="s">
        <v>246</v>
      </c>
      <c r="F32" s="38" t="s">
        <v>420</v>
      </c>
      <c r="G32" s="38" t="s">
        <v>421</v>
      </c>
      <c r="H32" s="2" t="s">
        <v>203</v>
      </c>
      <c r="I32" s="18" t="s">
        <v>8</v>
      </c>
      <c r="J32" s="18" t="s">
        <v>9</v>
      </c>
      <c r="K32" s="16" t="s">
        <v>38</v>
      </c>
      <c r="L32" s="1"/>
      <c r="M32" s="1"/>
      <c r="N32" s="1"/>
      <c r="O32" s="1"/>
      <c r="P32" s="1"/>
      <c r="Q32" s="1"/>
      <c r="R32" s="1"/>
      <c r="S32" s="1"/>
      <c r="T32" s="1"/>
      <c r="U32" s="1"/>
      <c r="V32" s="1"/>
      <c r="W32" s="1"/>
      <c r="X32" s="1"/>
      <c r="Y32" s="1"/>
      <c r="Z32" s="1"/>
    </row>
    <row r="33">
      <c r="A33" s="6" t="s">
        <v>422</v>
      </c>
      <c r="B33" s="30"/>
      <c r="C33" s="38" t="s">
        <v>423</v>
      </c>
      <c r="D33" s="1"/>
      <c r="E33" s="18" t="s">
        <v>424</v>
      </c>
      <c r="F33" s="38" t="s">
        <v>425</v>
      </c>
      <c r="G33" s="38" t="s">
        <v>426</v>
      </c>
      <c r="H33" s="2" t="s">
        <v>203</v>
      </c>
      <c r="I33" s="18" t="s">
        <v>8</v>
      </c>
      <c r="J33" s="18" t="s">
        <v>9</v>
      </c>
      <c r="K33" s="16" t="s">
        <v>38</v>
      </c>
      <c r="L33" s="1"/>
      <c r="M33" s="1"/>
      <c r="N33" s="1"/>
      <c r="O33" s="1"/>
      <c r="P33" s="1"/>
      <c r="Q33" s="1"/>
      <c r="R33" s="1"/>
      <c r="S33" s="1"/>
      <c r="T33" s="1"/>
      <c r="U33" s="1"/>
      <c r="V33" s="1"/>
      <c r="W33" s="1"/>
      <c r="X33" s="1"/>
      <c r="Y33" s="1"/>
      <c r="Z33" s="1"/>
    </row>
    <row r="34">
      <c r="A34" s="6" t="s">
        <v>427</v>
      </c>
      <c r="B34" s="30"/>
      <c r="C34" s="38" t="s">
        <v>428</v>
      </c>
      <c r="D34" s="38" t="s">
        <v>429</v>
      </c>
      <c r="E34" s="17" t="s">
        <v>430</v>
      </c>
      <c r="F34" s="17" t="s">
        <v>431</v>
      </c>
      <c r="G34" s="38" t="s">
        <v>432</v>
      </c>
      <c r="H34" s="2" t="s">
        <v>203</v>
      </c>
      <c r="I34" s="18" t="s">
        <v>8</v>
      </c>
      <c r="J34" s="18" t="s">
        <v>13</v>
      </c>
      <c r="K34" s="16" t="s">
        <v>38</v>
      </c>
      <c r="L34" s="1"/>
      <c r="M34" s="1"/>
      <c r="N34" s="1"/>
      <c r="O34" s="1"/>
      <c r="P34" s="1"/>
      <c r="Q34" s="1"/>
      <c r="R34" s="1"/>
      <c r="S34" s="1"/>
      <c r="T34" s="1"/>
      <c r="U34" s="1"/>
      <c r="V34" s="1"/>
      <c r="W34" s="1"/>
      <c r="X34" s="1"/>
      <c r="Y34" s="1"/>
      <c r="Z34" s="1"/>
    </row>
    <row r="35">
      <c r="A35" s="6" t="s">
        <v>433</v>
      </c>
      <c r="B35" s="31"/>
      <c r="C35" s="38" t="s">
        <v>434</v>
      </c>
      <c r="D35" s="2" t="s">
        <v>435</v>
      </c>
      <c r="E35" s="38" t="s">
        <v>436</v>
      </c>
      <c r="F35" s="2" t="s">
        <v>437</v>
      </c>
      <c r="G35" s="38" t="s">
        <v>438</v>
      </c>
      <c r="H35" s="2" t="s">
        <v>203</v>
      </c>
      <c r="I35" s="18" t="s">
        <v>8</v>
      </c>
      <c r="J35" s="18" t="s">
        <v>9</v>
      </c>
      <c r="K35" s="16" t="s">
        <v>38</v>
      </c>
      <c r="L35" s="1"/>
      <c r="M35" s="1"/>
      <c r="N35" s="1"/>
      <c r="O35" s="1"/>
      <c r="P35" s="1"/>
      <c r="Q35" s="1"/>
      <c r="R35" s="1"/>
      <c r="S35" s="1"/>
      <c r="T35" s="1"/>
      <c r="U35" s="1"/>
      <c r="V35" s="1"/>
      <c r="W35" s="1"/>
      <c r="X35" s="1"/>
      <c r="Y35" s="1"/>
      <c r="Z35" s="1"/>
    </row>
    <row r="36">
      <c r="A36" s="6" t="s">
        <v>439</v>
      </c>
      <c r="B36" s="39"/>
      <c r="C36" s="38" t="s">
        <v>440</v>
      </c>
      <c r="D36" s="2" t="s">
        <v>441</v>
      </c>
      <c r="E36" s="38" t="s">
        <v>442</v>
      </c>
      <c r="F36" s="2" t="s">
        <v>443</v>
      </c>
      <c r="G36" s="38" t="s">
        <v>444</v>
      </c>
      <c r="H36" s="2" t="s">
        <v>203</v>
      </c>
      <c r="I36" s="18" t="s">
        <v>8</v>
      </c>
      <c r="J36" s="18" t="s">
        <v>9</v>
      </c>
      <c r="K36" s="16" t="s">
        <v>38</v>
      </c>
      <c r="L36" s="1"/>
      <c r="M36" s="1"/>
      <c r="N36" s="1"/>
      <c r="O36" s="1"/>
      <c r="P36" s="1"/>
      <c r="Q36" s="1"/>
      <c r="R36" s="1"/>
      <c r="S36" s="1"/>
      <c r="T36" s="1"/>
      <c r="U36" s="1"/>
      <c r="V36" s="1"/>
      <c r="W36" s="1"/>
      <c r="X36" s="1"/>
      <c r="Y36" s="1"/>
      <c r="Z36" s="1"/>
    </row>
    <row r="37">
      <c r="A37" s="6" t="s">
        <v>445</v>
      </c>
      <c r="B37" s="30"/>
      <c r="C37" s="38" t="s">
        <v>446</v>
      </c>
      <c r="D37" s="2" t="s">
        <v>447</v>
      </c>
      <c r="E37" s="38" t="s">
        <v>448</v>
      </c>
      <c r="F37" s="38" t="s">
        <v>449</v>
      </c>
      <c r="G37" s="38" t="s">
        <v>450</v>
      </c>
      <c r="H37" s="2" t="s">
        <v>203</v>
      </c>
      <c r="I37" s="18" t="s">
        <v>8</v>
      </c>
      <c r="J37" s="18" t="s">
        <v>9</v>
      </c>
      <c r="K37" s="16" t="s">
        <v>38</v>
      </c>
      <c r="L37" s="1"/>
      <c r="M37" s="1"/>
      <c r="N37" s="1"/>
      <c r="O37" s="1"/>
      <c r="P37" s="1"/>
      <c r="Q37" s="1"/>
      <c r="R37" s="1"/>
      <c r="S37" s="1"/>
      <c r="T37" s="1"/>
      <c r="U37" s="1"/>
      <c r="V37" s="1"/>
      <c r="W37" s="1"/>
      <c r="X37" s="1"/>
      <c r="Y37" s="1"/>
      <c r="Z37" s="1"/>
    </row>
    <row r="38">
      <c r="A38" s="6" t="s">
        <v>451</v>
      </c>
      <c r="B38" s="30"/>
      <c r="C38" s="38" t="s">
        <v>452</v>
      </c>
      <c r="D38" s="38" t="s">
        <v>453</v>
      </c>
      <c r="E38" s="38" t="s">
        <v>442</v>
      </c>
      <c r="F38" s="2" t="s">
        <v>454</v>
      </c>
      <c r="G38" s="38" t="s">
        <v>455</v>
      </c>
      <c r="H38" s="38" t="s">
        <v>456</v>
      </c>
      <c r="I38" s="18" t="s">
        <v>8</v>
      </c>
      <c r="J38" s="18" t="s">
        <v>9</v>
      </c>
      <c r="K38" s="16" t="s">
        <v>51</v>
      </c>
      <c r="L38" s="1"/>
      <c r="M38" s="1"/>
      <c r="N38" s="1"/>
      <c r="O38" s="1"/>
      <c r="P38" s="1"/>
      <c r="Q38" s="1"/>
      <c r="R38" s="1"/>
      <c r="S38" s="1"/>
      <c r="T38" s="1"/>
      <c r="U38" s="1"/>
      <c r="V38" s="1"/>
      <c r="W38" s="1"/>
      <c r="X38" s="1"/>
      <c r="Y38" s="1"/>
      <c r="Z38" s="1"/>
    </row>
    <row r="39">
      <c r="A39" s="6" t="s">
        <v>457</v>
      </c>
      <c r="B39" s="30"/>
      <c r="C39" s="38" t="s">
        <v>458</v>
      </c>
      <c r="D39" s="38" t="s">
        <v>453</v>
      </c>
      <c r="E39" s="2" t="s">
        <v>459</v>
      </c>
      <c r="F39" s="2" t="s">
        <v>460</v>
      </c>
      <c r="G39" s="38" t="s">
        <v>461</v>
      </c>
      <c r="H39" s="2" t="s">
        <v>203</v>
      </c>
      <c r="I39" s="18" t="s">
        <v>8</v>
      </c>
      <c r="J39" s="18" t="s">
        <v>9</v>
      </c>
      <c r="K39" s="16" t="s">
        <v>38</v>
      </c>
      <c r="L39" s="1"/>
      <c r="M39" s="1"/>
      <c r="N39" s="1"/>
      <c r="O39" s="1"/>
      <c r="P39" s="1"/>
      <c r="Q39" s="1"/>
      <c r="R39" s="1"/>
      <c r="S39" s="1"/>
      <c r="T39" s="1"/>
      <c r="U39" s="1"/>
      <c r="V39" s="1"/>
      <c r="W39" s="1"/>
      <c r="X39" s="1"/>
      <c r="Y39" s="1"/>
      <c r="Z39" s="1"/>
    </row>
    <row r="40">
      <c r="A40" s="6" t="s">
        <v>462</v>
      </c>
      <c r="B40" s="30"/>
      <c r="C40" s="38" t="s">
        <v>463</v>
      </c>
      <c r="D40" s="38" t="s">
        <v>464</v>
      </c>
      <c r="E40" s="38" t="s">
        <v>465</v>
      </c>
      <c r="F40" s="38" t="s">
        <v>466</v>
      </c>
      <c r="G40" s="38" t="s">
        <v>467</v>
      </c>
      <c r="H40" s="38" t="s">
        <v>468</v>
      </c>
      <c r="I40" s="18" t="s">
        <v>8</v>
      </c>
      <c r="J40" s="18" t="s">
        <v>9</v>
      </c>
      <c r="K40" s="16" t="s">
        <v>51</v>
      </c>
      <c r="L40" s="1"/>
      <c r="M40" s="1"/>
      <c r="N40" s="1"/>
      <c r="O40" s="1"/>
      <c r="P40" s="1"/>
      <c r="Q40" s="1"/>
      <c r="R40" s="1"/>
      <c r="S40" s="1"/>
      <c r="T40" s="1"/>
      <c r="U40" s="1"/>
      <c r="V40" s="1"/>
      <c r="W40" s="1"/>
      <c r="X40" s="1"/>
      <c r="Y40" s="1"/>
      <c r="Z40" s="1"/>
    </row>
    <row r="41">
      <c r="A41" s="6" t="s">
        <v>469</v>
      </c>
      <c r="B41" s="31"/>
      <c r="C41" s="38" t="s">
        <v>470</v>
      </c>
      <c r="D41" s="38" t="s">
        <v>464</v>
      </c>
      <c r="E41" s="38" t="s">
        <v>471</v>
      </c>
      <c r="F41" s="38" t="s">
        <v>472</v>
      </c>
      <c r="G41" s="38" t="s">
        <v>473</v>
      </c>
      <c r="H41" s="2" t="s">
        <v>203</v>
      </c>
      <c r="I41" s="18" t="s">
        <v>8</v>
      </c>
      <c r="J41" s="18" t="s">
        <v>9</v>
      </c>
      <c r="K41" s="16" t="s">
        <v>38</v>
      </c>
      <c r="L41" s="1"/>
      <c r="M41" s="1"/>
      <c r="N41" s="1"/>
      <c r="O41" s="1"/>
      <c r="P41" s="1"/>
      <c r="Q41" s="1"/>
      <c r="R41" s="1"/>
      <c r="S41" s="1"/>
      <c r="T41" s="1"/>
      <c r="U41" s="1"/>
      <c r="V41" s="1"/>
      <c r="W41" s="1"/>
      <c r="X41" s="1"/>
      <c r="Y41" s="1"/>
      <c r="Z41" s="1"/>
    </row>
    <row r="42">
      <c r="A42" s="6" t="s">
        <v>474</v>
      </c>
      <c r="B42" s="40" t="s">
        <v>475</v>
      </c>
      <c r="C42" s="38" t="s">
        <v>476</v>
      </c>
      <c r="D42" s="38" t="s">
        <v>453</v>
      </c>
      <c r="E42" s="2" t="s">
        <v>246</v>
      </c>
      <c r="F42" s="38" t="s">
        <v>477</v>
      </c>
      <c r="G42" s="38" t="s">
        <v>478</v>
      </c>
      <c r="H42" s="2" t="s">
        <v>203</v>
      </c>
      <c r="I42" s="18" t="s">
        <v>8</v>
      </c>
      <c r="J42" s="18" t="s">
        <v>13</v>
      </c>
      <c r="K42" s="16" t="s">
        <v>38</v>
      </c>
      <c r="L42" s="1"/>
      <c r="M42" s="1"/>
      <c r="N42" s="1"/>
      <c r="O42" s="1"/>
      <c r="P42" s="1"/>
      <c r="Q42" s="1"/>
      <c r="R42" s="1"/>
      <c r="S42" s="1"/>
      <c r="T42" s="1"/>
      <c r="U42" s="1"/>
      <c r="V42" s="1"/>
      <c r="W42" s="1"/>
      <c r="X42" s="1"/>
      <c r="Y42" s="1"/>
      <c r="Z42" s="1"/>
    </row>
    <row r="43">
      <c r="A43" s="6" t="s">
        <v>479</v>
      </c>
      <c r="B43" s="30"/>
      <c r="C43" s="38" t="s">
        <v>480</v>
      </c>
      <c r="D43" s="1"/>
      <c r="E43" s="2" t="s">
        <v>246</v>
      </c>
      <c r="F43" s="2" t="s">
        <v>481</v>
      </c>
      <c r="G43" s="38" t="s">
        <v>482</v>
      </c>
      <c r="H43" s="2" t="s">
        <v>203</v>
      </c>
      <c r="I43" s="18" t="s">
        <v>8</v>
      </c>
      <c r="J43" s="18" t="s">
        <v>9</v>
      </c>
      <c r="K43" s="16" t="s">
        <v>38</v>
      </c>
      <c r="L43" s="1"/>
      <c r="M43" s="1"/>
      <c r="N43" s="1"/>
      <c r="O43" s="1"/>
      <c r="P43" s="1"/>
      <c r="Q43" s="1"/>
      <c r="R43" s="1"/>
      <c r="S43" s="1"/>
      <c r="T43" s="1"/>
      <c r="U43" s="1"/>
      <c r="V43" s="1"/>
      <c r="W43" s="1"/>
      <c r="X43" s="1"/>
      <c r="Y43" s="1"/>
      <c r="Z43" s="1"/>
    </row>
    <row r="44" ht="1.5" customHeight="1">
      <c r="A44" s="1"/>
      <c r="B44" s="31"/>
      <c r="C44" s="1"/>
      <c r="D44" s="1"/>
      <c r="E44" s="1"/>
      <c r="F44" s="1"/>
      <c r="G44" s="1"/>
      <c r="H44" s="1"/>
      <c r="I44" s="21"/>
      <c r="J44" s="21"/>
      <c r="K44" s="25"/>
      <c r="L44" s="1"/>
      <c r="M44" s="1"/>
      <c r="N44" s="1"/>
      <c r="O44" s="1"/>
      <c r="P44" s="1"/>
      <c r="Q44" s="1"/>
      <c r="R44" s="1"/>
      <c r="S44" s="1"/>
      <c r="T44" s="1"/>
      <c r="U44" s="1"/>
      <c r="V44" s="1"/>
      <c r="W44" s="1"/>
      <c r="X44" s="1"/>
      <c r="Y44" s="1"/>
      <c r="Z44" s="1"/>
    </row>
    <row r="45">
      <c r="A45" s="6" t="s">
        <v>483</v>
      </c>
      <c r="B45" s="40" t="s">
        <v>484</v>
      </c>
      <c r="C45" s="38" t="s">
        <v>485</v>
      </c>
      <c r="D45" s="38" t="s">
        <v>453</v>
      </c>
      <c r="E45" s="2" t="s">
        <v>246</v>
      </c>
      <c r="F45" s="38" t="s">
        <v>486</v>
      </c>
      <c r="G45" s="38" t="s">
        <v>487</v>
      </c>
      <c r="H45" s="2" t="s">
        <v>203</v>
      </c>
      <c r="I45" s="18" t="s">
        <v>8</v>
      </c>
      <c r="J45" s="18" t="s">
        <v>9</v>
      </c>
      <c r="K45" s="16" t="s">
        <v>38</v>
      </c>
      <c r="L45" s="1"/>
      <c r="M45" s="1"/>
      <c r="N45" s="1"/>
      <c r="O45" s="1"/>
      <c r="P45" s="1"/>
      <c r="Q45" s="1"/>
      <c r="R45" s="1"/>
      <c r="S45" s="1"/>
      <c r="T45" s="1"/>
      <c r="U45" s="1"/>
      <c r="V45" s="1"/>
      <c r="W45" s="1"/>
      <c r="X45" s="1"/>
      <c r="Y45" s="1"/>
      <c r="Z45" s="1"/>
    </row>
    <row r="46">
      <c r="A46" s="6" t="s">
        <v>488</v>
      </c>
      <c r="B46" s="30"/>
      <c r="C46" s="38" t="s">
        <v>489</v>
      </c>
      <c r="D46" s="38" t="s">
        <v>453</v>
      </c>
      <c r="E46" s="1"/>
      <c r="F46" s="38" t="s">
        <v>490</v>
      </c>
      <c r="G46" s="38" t="s">
        <v>491</v>
      </c>
      <c r="H46" s="38" t="s">
        <v>492</v>
      </c>
      <c r="I46" s="18" t="s">
        <v>8</v>
      </c>
      <c r="J46" s="18" t="s">
        <v>9</v>
      </c>
      <c r="K46" s="16" t="s">
        <v>51</v>
      </c>
      <c r="L46" s="1"/>
      <c r="M46" s="1"/>
      <c r="N46" s="1"/>
      <c r="O46" s="1"/>
      <c r="P46" s="1"/>
      <c r="Q46" s="1"/>
      <c r="R46" s="1"/>
      <c r="S46" s="1"/>
      <c r="T46" s="1"/>
      <c r="U46" s="1"/>
      <c r="V46" s="1"/>
      <c r="W46" s="1"/>
      <c r="X46" s="1"/>
      <c r="Y46" s="1"/>
      <c r="Z46" s="1"/>
    </row>
    <row r="47">
      <c r="A47" s="6" t="s">
        <v>493</v>
      </c>
      <c r="B47" s="30"/>
      <c r="C47" s="38" t="s">
        <v>494</v>
      </c>
      <c r="D47" s="38" t="s">
        <v>495</v>
      </c>
      <c r="E47" s="38" t="s">
        <v>496</v>
      </c>
      <c r="F47" s="38" t="s">
        <v>497</v>
      </c>
      <c r="G47" s="38" t="s">
        <v>498</v>
      </c>
      <c r="H47" s="2" t="s">
        <v>203</v>
      </c>
      <c r="I47" s="18" t="s">
        <v>8</v>
      </c>
      <c r="J47" s="18" t="s">
        <v>13</v>
      </c>
      <c r="K47" s="16" t="s">
        <v>38</v>
      </c>
      <c r="L47" s="1"/>
      <c r="M47" s="1"/>
      <c r="N47" s="1"/>
      <c r="O47" s="1"/>
      <c r="P47" s="1"/>
      <c r="Q47" s="1"/>
      <c r="R47" s="1"/>
      <c r="S47" s="1"/>
      <c r="T47" s="1"/>
      <c r="U47" s="1"/>
      <c r="V47" s="1"/>
      <c r="W47" s="1"/>
      <c r="X47" s="1"/>
      <c r="Y47" s="1"/>
      <c r="Z47" s="1"/>
    </row>
    <row r="48">
      <c r="A48" s="6" t="s">
        <v>499</v>
      </c>
      <c r="B48" s="30"/>
      <c r="C48" s="38" t="s">
        <v>500</v>
      </c>
      <c r="D48" s="38" t="s">
        <v>501</v>
      </c>
      <c r="E48" s="2"/>
      <c r="F48" s="2" t="s">
        <v>502</v>
      </c>
      <c r="G48" s="38" t="s">
        <v>503</v>
      </c>
      <c r="H48" s="2" t="s">
        <v>203</v>
      </c>
      <c r="I48" s="18" t="s">
        <v>8</v>
      </c>
      <c r="J48" s="18" t="s">
        <v>16</v>
      </c>
      <c r="K48" s="16" t="s">
        <v>38</v>
      </c>
      <c r="L48" s="1"/>
      <c r="M48" s="1"/>
      <c r="N48" s="1"/>
      <c r="O48" s="1"/>
      <c r="P48" s="1"/>
      <c r="Q48" s="1"/>
      <c r="R48" s="1"/>
      <c r="S48" s="1"/>
      <c r="T48" s="1"/>
      <c r="U48" s="1"/>
      <c r="V48" s="1"/>
      <c r="W48" s="1"/>
      <c r="X48" s="1"/>
      <c r="Y48" s="1"/>
      <c r="Z48" s="1"/>
    </row>
    <row r="49">
      <c r="A49" s="6" t="s">
        <v>504</v>
      </c>
      <c r="B49" s="30"/>
      <c r="C49" s="38" t="s">
        <v>505</v>
      </c>
      <c r="D49" s="38" t="s">
        <v>464</v>
      </c>
      <c r="E49" s="1"/>
      <c r="F49" s="38" t="s">
        <v>506</v>
      </c>
      <c r="G49" s="38" t="s">
        <v>507</v>
      </c>
      <c r="H49" s="2" t="s">
        <v>203</v>
      </c>
      <c r="I49" s="18" t="s">
        <v>8</v>
      </c>
      <c r="J49" s="18" t="s">
        <v>16</v>
      </c>
      <c r="K49" s="16" t="s">
        <v>38</v>
      </c>
      <c r="L49" s="1"/>
      <c r="M49" s="1"/>
      <c r="N49" s="1"/>
      <c r="O49" s="1"/>
      <c r="P49" s="1"/>
      <c r="Q49" s="1"/>
      <c r="R49" s="1"/>
      <c r="S49" s="1"/>
      <c r="T49" s="1"/>
      <c r="U49" s="1"/>
      <c r="V49" s="1"/>
      <c r="W49" s="1"/>
      <c r="X49" s="1"/>
      <c r="Y49" s="1"/>
      <c r="Z49" s="1"/>
    </row>
    <row r="50">
      <c r="A50" s="1"/>
      <c r="B50" s="31"/>
      <c r="C50" s="1"/>
      <c r="D50" s="1"/>
      <c r="E50" s="1"/>
      <c r="F50" s="1"/>
      <c r="G50" s="1"/>
      <c r="H50" s="1"/>
      <c r="I50" s="21"/>
      <c r="J50" s="21"/>
      <c r="K50" s="25"/>
      <c r="L50" s="1"/>
      <c r="M50" s="1"/>
      <c r="N50" s="1"/>
      <c r="O50" s="1"/>
      <c r="P50" s="1"/>
      <c r="Q50" s="1"/>
      <c r="R50" s="1"/>
      <c r="S50" s="1"/>
      <c r="T50" s="1"/>
      <c r="U50" s="1"/>
      <c r="V50" s="1"/>
      <c r="W50" s="1"/>
      <c r="X50" s="1"/>
      <c r="Y50" s="1"/>
      <c r="Z50" s="1"/>
    </row>
    <row r="51">
      <c r="A51" s="1"/>
      <c r="B51" s="1"/>
      <c r="C51" s="1"/>
      <c r="D51" s="1"/>
      <c r="E51" s="1"/>
      <c r="F51" s="1"/>
      <c r="G51" s="1"/>
      <c r="H51" s="1"/>
      <c r="I51" s="21"/>
      <c r="J51" s="21"/>
      <c r="K51" s="25"/>
      <c r="L51" s="1"/>
      <c r="M51" s="1"/>
      <c r="N51" s="1"/>
      <c r="O51" s="1"/>
      <c r="P51" s="1"/>
      <c r="Q51" s="1"/>
      <c r="R51" s="1"/>
      <c r="S51" s="1"/>
      <c r="T51" s="1"/>
      <c r="U51" s="1"/>
      <c r="V51" s="1"/>
      <c r="W51" s="1"/>
      <c r="X51" s="1"/>
      <c r="Y51" s="1"/>
      <c r="Z51" s="1"/>
    </row>
    <row r="52">
      <c r="A52" s="1"/>
      <c r="B52" s="1"/>
      <c r="C52" s="1"/>
      <c r="D52" s="1"/>
      <c r="E52" s="1"/>
      <c r="F52" s="1"/>
      <c r="G52" s="1"/>
      <c r="H52" s="1"/>
      <c r="I52" s="21"/>
      <c r="J52" s="21"/>
      <c r="K52" s="25"/>
      <c r="L52" s="1"/>
      <c r="M52" s="1"/>
      <c r="N52" s="1"/>
      <c r="O52" s="1"/>
      <c r="P52" s="1"/>
      <c r="Q52" s="1"/>
      <c r="R52" s="1"/>
      <c r="S52" s="1"/>
      <c r="T52" s="1"/>
      <c r="U52" s="1"/>
      <c r="V52" s="1"/>
      <c r="W52" s="1"/>
      <c r="X52" s="1"/>
      <c r="Y52" s="1"/>
      <c r="Z52" s="1"/>
    </row>
    <row r="53">
      <c r="A53" s="1"/>
      <c r="B53" s="1"/>
      <c r="C53" s="1"/>
      <c r="D53" s="1"/>
      <c r="E53" s="1"/>
      <c r="F53" s="1"/>
      <c r="G53" s="1"/>
      <c r="H53" s="1"/>
      <c r="I53" s="21"/>
      <c r="J53" s="21"/>
      <c r="K53" s="25"/>
      <c r="L53" s="1"/>
      <c r="M53" s="1"/>
      <c r="N53" s="1"/>
      <c r="O53" s="1"/>
      <c r="P53" s="1"/>
      <c r="Q53" s="1"/>
      <c r="R53" s="1"/>
      <c r="S53" s="1"/>
      <c r="T53" s="1"/>
      <c r="U53" s="1"/>
      <c r="V53" s="1"/>
      <c r="W53" s="1"/>
      <c r="X53" s="1"/>
      <c r="Y53" s="1"/>
      <c r="Z53" s="1"/>
    </row>
    <row r="54">
      <c r="A54" s="1"/>
      <c r="B54" s="1"/>
      <c r="C54" s="1"/>
      <c r="D54" s="1"/>
      <c r="E54" s="1"/>
      <c r="F54" s="1"/>
      <c r="G54" s="1"/>
      <c r="H54" s="1"/>
      <c r="I54" s="21"/>
      <c r="J54" s="21"/>
      <c r="K54" s="25"/>
      <c r="L54" s="1"/>
      <c r="M54" s="1"/>
      <c r="N54" s="1"/>
      <c r="O54" s="1"/>
      <c r="P54" s="1"/>
      <c r="Q54" s="1"/>
      <c r="R54" s="1"/>
      <c r="S54" s="1"/>
      <c r="T54" s="1"/>
      <c r="U54" s="1"/>
      <c r="V54" s="1"/>
      <c r="W54" s="1"/>
      <c r="X54" s="1"/>
      <c r="Y54" s="1"/>
      <c r="Z54" s="1"/>
    </row>
    <row r="55">
      <c r="A55" s="1"/>
      <c r="B55" s="1"/>
      <c r="C55" s="1"/>
      <c r="D55" s="1"/>
      <c r="E55" s="1"/>
      <c r="F55" s="1"/>
      <c r="G55" s="1"/>
      <c r="H55" s="1"/>
      <c r="I55" s="21"/>
      <c r="J55" s="21"/>
      <c r="K55" s="25"/>
      <c r="L55" s="1"/>
      <c r="M55" s="1"/>
      <c r="N55" s="1"/>
      <c r="O55" s="1"/>
      <c r="P55" s="1"/>
      <c r="Q55" s="1"/>
      <c r="R55" s="1"/>
      <c r="S55" s="1"/>
      <c r="T55" s="1"/>
      <c r="U55" s="1"/>
      <c r="V55" s="1"/>
      <c r="W55" s="1"/>
      <c r="X55" s="1"/>
      <c r="Y55" s="1"/>
      <c r="Z55" s="1"/>
    </row>
    <row r="56">
      <c r="A56" s="1"/>
      <c r="B56" s="1"/>
      <c r="C56" s="1"/>
      <c r="D56" s="1"/>
      <c r="E56" s="1"/>
      <c r="F56" s="1"/>
      <c r="G56" s="1"/>
      <c r="H56" s="1"/>
      <c r="I56" s="21"/>
      <c r="J56" s="21"/>
      <c r="K56" s="25"/>
      <c r="L56" s="1"/>
      <c r="M56" s="1"/>
      <c r="N56" s="1"/>
      <c r="O56" s="1"/>
      <c r="P56" s="1"/>
      <c r="Q56" s="1"/>
      <c r="R56" s="1"/>
      <c r="S56" s="1"/>
      <c r="T56" s="1"/>
      <c r="U56" s="1"/>
      <c r="V56" s="1"/>
      <c r="W56" s="1"/>
      <c r="X56" s="1"/>
      <c r="Y56" s="1"/>
      <c r="Z56" s="1"/>
    </row>
    <row r="57">
      <c r="A57" s="1"/>
      <c r="B57" s="1"/>
      <c r="C57" s="1"/>
      <c r="D57" s="1"/>
      <c r="E57" s="1"/>
      <c r="F57" s="1"/>
      <c r="G57" s="1"/>
      <c r="H57" s="1"/>
      <c r="I57" s="21"/>
      <c r="J57" s="21"/>
      <c r="K57" s="25"/>
      <c r="L57" s="1"/>
      <c r="M57" s="1"/>
      <c r="N57" s="1"/>
      <c r="O57" s="1"/>
      <c r="P57" s="1"/>
      <c r="Q57" s="1"/>
      <c r="R57" s="1"/>
      <c r="S57" s="1"/>
      <c r="T57" s="1"/>
      <c r="U57" s="1"/>
      <c r="V57" s="1"/>
      <c r="W57" s="1"/>
      <c r="X57" s="1"/>
      <c r="Y57" s="1"/>
      <c r="Z57" s="1"/>
    </row>
    <row r="58">
      <c r="A58" s="1"/>
      <c r="B58" s="1"/>
      <c r="C58" s="1"/>
      <c r="D58" s="1"/>
      <c r="E58" s="1"/>
      <c r="F58" s="1"/>
      <c r="G58" s="1"/>
      <c r="H58" s="1"/>
      <c r="I58" s="21"/>
      <c r="J58" s="21"/>
      <c r="K58" s="25"/>
      <c r="L58" s="1"/>
      <c r="M58" s="1"/>
      <c r="N58" s="1"/>
      <c r="O58" s="1"/>
      <c r="P58" s="1"/>
      <c r="Q58" s="1"/>
      <c r="R58" s="1"/>
      <c r="S58" s="1"/>
      <c r="T58" s="1"/>
      <c r="U58" s="1"/>
      <c r="V58" s="1"/>
      <c r="W58" s="1"/>
      <c r="X58" s="1"/>
      <c r="Y58" s="1"/>
      <c r="Z58" s="1"/>
    </row>
    <row r="59">
      <c r="A59" s="1"/>
      <c r="B59" s="1"/>
      <c r="C59" s="1"/>
      <c r="D59" s="1"/>
      <c r="E59" s="1"/>
      <c r="F59" s="1"/>
      <c r="G59" s="1"/>
      <c r="H59" s="1"/>
      <c r="I59" s="21"/>
      <c r="J59" s="21"/>
      <c r="K59" s="16"/>
      <c r="L59" s="1"/>
      <c r="M59" s="1"/>
      <c r="N59" s="1"/>
      <c r="O59" s="1"/>
      <c r="P59" s="1"/>
      <c r="Q59" s="1"/>
      <c r="R59" s="1"/>
      <c r="S59" s="1"/>
      <c r="T59" s="1"/>
      <c r="U59" s="1"/>
      <c r="V59" s="1"/>
      <c r="W59" s="1"/>
      <c r="X59" s="1"/>
      <c r="Y59" s="1"/>
      <c r="Z59" s="1"/>
    </row>
    <row r="60">
      <c r="A60" s="1"/>
      <c r="B60" s="1"/>
      <c r="C60" s="1"/>
      <c r="D60" s="1"/>
      <c r="E60" s="1"/>
      <c r="F60" s="1"/>
      <c r="G60" s="1"/>
      <c r="H60" s="1"/>
      <c r="I60" s="21"/>
      <c r="J60" s="21"/>
      <c r="K60" s="25"/>
      <c r="L60" s="1"/>
      <c r="M60" s="1"/>
      <c r="N60" s="1"/>
      <c r="O60" s="1"/>
      <c r="P60" s="1"/>
      <c r="Q60" s="1"/>
      <c r="R60" s="1"/>
      <c r="S60" s="1"/>
      <c r="T60" s="1"/>
      <c r="U60" s="1"/>
      <c r="V60" s="1"/>
      <c r="W60" s="1"/>
      <c r="X60" s="1"/>
      <c r="Y60" s="1"/>
      <c r="Z60" s="1"/>
    </row>
    <row r="61">
      <c r="A61" s="1"/>
      <c r="B61" s="1"/>
      <c r="C61" s="1"/>
      <c r="D61" s="1"/>
      <c r="E61" s="1"/>
      <c r="F61" s="1"/>
      <c r="G61" s="1"/>
      <c r="H61" s="1"/>
      <c r="I61" s="21"/>
      <c r="J61" s="21"/>
      <c r="K61" s="25"/>
      <c r="L61" s="1"/>
      <c r="M61" s="1"/>
      <c r="N61" s="1"/>
      <c r="O61" s="1"/>
      <c r="P61" s="1"/>
      <c r="Q61" s="1"/>
      <c r="R61" s="1"/>
      <c r="S61" s="1"/>
      <c r="T61" s="1"/>
      <c r="U61" s="1"/>
      <c r="V61" s="1"/>
      <c r="W61" s="1"/>
      <c r="X61" s="1"/>
      <c r="Y61" s="1"/>
      <c r="Z61" s="1"/>
    </row>
    <row r="62">
      <c r="A62" s="1"/>
      <c r="B62" s="1"/>
      <c r="C62" s="1"/>
      <c r="D62" s="1"/>
      <c r="E62" s="1"/>
      <c r="F62" s="1"/>
      <c r="G62" s="1"/>
      <c r="H62" s="1"/>
      <c r="I62" s="21"/>
      <c r="J62" s="21"/>
      <c r="K62" s="25"/>
      <c r="L62" s="1"/>
      <c r="M62" s="1"/>
      <c r="N62" s="1"/>
      <c r="O62" s="1"/>
      <c r="P62" s="1"/>
      <c r="Q62" s="1"/>
      <c r="R62" s="1"/>
      <c r="S62" s="1"/>
      <c r="T62" s="1"/>
      <c r="U62" s="1"/>
      <c r="V62" s="1"/>
      <c r="W62" s="1"/>
      <c r="X62" s="1"/>
      <c r="Y62" s="1"/>
      <c r="Z62" s="1"/>
    </row>
    <row r="63">
      <c r="A63" s="1"/>
      <c r="B63" s="1"/>
      <c r="C63" s="1"/>
      <c r="D63" s="1"/>
      <c r="E63" s="1"/>
      <c r="F63" s="1"/>
      <c r="G63" s="1"/>
      <c r="H63" s="1"/>
      <c r="I63" s="21"/>
      <c r="J63" s="21"/>
      <c r="K63" s="25"/>
      <c r="L63" s="1"/>
      <c r="M63" s="1"/>
      <c r="N63" s="1"/>
      <c r="O63" s="1"/>
      <c r="P63" s="1"/>
      <c r="Q63" s="1"/>
      <c r="R63" s="1"/>
      <c r="S63" s="1"/>
      <c r="T63" s="1"/>
      <c r="U63" s="1"/>
      <c r="V63" s="1"/>
      <c r="W63" s="1"/>
      <c r="X63" s="1"/>
      <c r="Y63" s="1"/>
      <c r="Z63" s="1"/>
    </row>
    <row r="64">
      <c r="A64" s="1"/>
      <c r="B64" s="1"/>
      <c r="C64" s="1"/>
      <c r="D64" s="1"/>
      <c r="E64" s="1"/>
      <c r="F64" s="1"/>
      <c r="G64" s="1"/>
      <c r="H64" s="1"/>
      <c r="I64" s="21"/>
      <c r="J64" s="21"/>
      <c r="K64" s="25"/>
      <c r="L64" s="1"/>
      <c r="M64" s="1"/>
      <c r="N64" s="1"/>
      <c r="O64" s="1"/>
      <c r="P64" s="1"/>
      <c r="Q64" s="1"/>
      <c r="R64" s="1"/>
      <c r="S64" s="1"/>
      <c r="T64" s="1"/>
      <c r="U64" s="1"/>
      <c r="V64" s="1"/>
      <c r="W64" s="1"/>
      <c r="X64" s="1"/>
      <c r="Y64" s="1"/>
      <c r="Z64" s="1"/>
    </row>
    <row r="65">
      <c r="I65" s="21"/>
      <c r="J65" s="21"/>
      <c r="K65" s="25"/>
    </row>
    <row r="66">
      <c r="I66" s="21"/>
      <c r="J66" s="21"/>
      <c r="K66" s="25"/>
    </row>
  </sheetData>
  <mergeCells count="9">
    <mergeCell ref="B42:B44"/>
    <mergeCell ref="B45:B50"/>
    <mergeCell ref="G2:H2"/>
    <mergeCell ref="J2:K2"/>
    <mergeCell ref="B10:B18"/>
    <mergeCell ref="B19:B24"/>
    <mergeCell ref="B25:B30"/>
    <mergeCell ref="B31:B35"/>
    <mergeCell ref="B36:B41"/>
  </mergeCells>
  <conditionalFormatting sqref="K10:K66">
    <cfRule type="cellIs" dxfId="2" priority="1" operator="equal">
      <formula>"NE"</formula>
    </cfRule>
  </conditionalFormatting>
  <conditionalFormatting sqref="K10:K66">
    <cfRule type="cellIs" dxfId="3" priority="2" operator="equal">
      <formula>"NA"</formula>
    </cfRule>
  </conditionalFormatting>
  <conditionalFormatting sqref="K10:K66">
    <cfRule type="cellIs" dxfId="0" priority="3" operator="equal">
      <formula>"P"</formula>
    </cfRule>
  </conditionalFormatting>
  <conditionalFormatting sqref="K10:K30">
    <cfRule type="cellIs" dxfId="4" priority="4" operator="equal">
      <formula>"NE"</formula>
    </cfRule>
  </conditionalFormatting>
  <conditionalFormatting sqref="K10:K30">
    <cfRule type="cellIs" dxfId="5" priority="5" operator="equal">
      <formula>"NA"</formula>
    </cfRule>
  </conditionalFormatting>
  <conditionalFormatting sqref="K9:K66">
    <cfRule type="cellIs" dxfId="1" priority="6" operator="equal">
      <formula>"F"</formula>
    </cfRule>
  </conditionalFormatting>
  <dataValidations>
    <dataValidation type="list" allowBlank="1" showErrorMessage="1" sqref="I10:I66">
      <formula1>"Negative,Positive"</formula1>
    </dataValidation>
    <dataValidation type="list" allowBlank="1" showErrorMessage="1" sqref="J10:J66">
      <formula1>"High,Medium,Low"</formula1>
    </dataValidation>
    <dataValidation type="list" allowBlank="1" showErrorMessage="1" sqref="K10:K66">
      <formula1>"P,F,NE,NA"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9.13"/>
    <col customWidth="1" min="3" max="3" width="26.25"/>
    <col customWidth="1" min="4" max="4" width="20.13"/>
    <col customWidth="1" min="6" max="6" width="21.25"/>
    <col customWidth="1" min="7" max="7" width="19.5"/>
    <col customWidth="1" min="8" max="8" width="16.5"/>
  </cols>
  <sheetData>
    <row r="1" ht="1.5" customHeight="1"/>
    <row r="2">
      <c r="A2" s="2" t="s">
        <v>508</v>
      </c>
      <c r="B2" s="1"/>
      <c r="C2" s="1"/>
      <c r="D2" s="3" t="s">
        <v>1</v>
      </c>
      <c r="E2" s="3" t="s">
        <v>2</v>
      </c>
      <c r="F2" s="3"/>
      <c r="G2" s="4" t="s">
        <v>3</v>
      </c>
      <c r="H2" s="5"/>
      <c r="I2" s="1"/>
      <c r="J2" s="4" t="s">
        <v>4</v>
      </c>
      <c r="K2" s="5"/>
      <c r="L2" s="1"/>
    </row>
    <row r="3">
      <c r="A3" s="6" t="s">
        <v>5</v>
      </c>
      <c r="B3" s="2" t="s">
        <v>6</v>
      </c>
      <c r="C3" s="2"/>
      <c r="D3" s="7" t="s">
        <v>7</v>
      </c>
      <c r="E3" s="36">
        <f>COUNTIF(K10:K71, "P")</f>
        <v>4</v>
      </c>
      <c r="F3" s="9"/>
      <c r="G3" s="2" t="s">
        <v>8</v>
      </c>
      <c r="H3" s="10">
        <f>COUNTIF(I10:I71, "Positive")</f>
        <v>15</v>
      </c>
      <c r="I3" s="1"/>
      <c r="J3" s="2" t="s">
        <v>9</v>
      </c>
      <c r="K3" s="10">
        <f>COUNTIF(J10:J71, "High")</f>
        <v>0</v>
      </c>
      <c r="L3" s="1"/>
    </row>
    <row r="4">
      <c r="A4" s="6" t="s">
        <v>10</v>
      </c>
      <c r="B4" s="1"/>
      <c r="C4" s="1"/>
      <c r="D4" s="11" t="s">
        <v>11</v>
      </c>
      <c r="E4" s="36">
        <f>COUNTIF(K10:K71, "F")</f>
        <v>11</v>
      </c>
      <c r="F4" s="9"/>
      <c r="G4" s="2" t="s">
        <v>12</v>
      </c>
      <c r="H4" s="10">
        <f>COUNTIF(I10:I71, "Negative")</f>
        <v>5</v>
      </c>
      <c r="I4" s="1"/>
      <c r="J4" s="2" t="s">
        <v>13</v>
      </c>
      <c r="K4" s="10">
        <f>COUNTIF(J10:J71, "Medium")</f>
        <v>20</v>
      </c>
      <c r="L4" s="1"/>
    </row>
    <row r="5">
      <c r="A5" s="1"/>
      <c r="B5" s="1"/>
      <c r="C5" s="1"/>
      <c r="D5" s="12" t="s">
        <v>14</v>
      </c>
      <c r="E5" s="36">
        <f>COUNTIF(K12:K71, "NE")</f>
        <v>0</v>
      </c>
      <c r="F5" s="9"/>
      <c r="G5" s="6" t="s">
        <v>15</v>
      </c>
      <c r="H5" s="10">
        <f>SUM(H3:H4)</f>
        <v>20</v>
      </c>
      <c r="I5" s="1"/>
      <c r="J5" s="2" t="s">
        <v>16</v>
      </c>
      <c r="K5" s="10">
        <f>COUNTIF(J10:J71, "Low")</f>
        <v>0</v>
      </c>
      <c r="L5" s="1"/>
    </row>
    <row r="6">
      <c r="A6" s="1"/>
      <c r="B6" s="1"/>
      <c r="C6" s="1"/>
      <c r="D6" s="13" t="s">
        <v>17</v>
      </c>
      <c r="E6" s="8">
        <f>COUNTIF(K10:K71, "NA")</f>
        <v>0</v>
      </c>
      <c r="F6" s="9"/>
      <c r="G6" s="1"/>
      <c r="H6" s="1"/>
      <c r="I6" s="1"/>
      <c r="J6" s="6" t="s">
        <v>15</v>
      </c>
      <c r="K6" s="10">
        <f>SUM(K3:K5)</f>
        <v>20</v>
      </c>
      <c r="L6" s="1"/>
    </row>
    <row r="7">
      <c r="A7" s="1"/>
      <c r="B7" s="1"/>
      <c r="C7" s="1"/>
      <c r="D7" s="6" t="s">
        <v>15</v>
      </c>
      <c r="E7" s="10">
        <f>SUM(E3:E6)</f>
        <v>15</v>
      </c>
      <c r="F7" s="1"/>
      <c r="G7" s="1"/>
      <c r="H7" s="1"/>
      <c r="I7" s="1"/>
      <c r="J7" s="1"/>
      <c r="K7" s="1"/>
      <c r="L7" s="1"/>
    </row>
    <row r="9">
      <c r="A9" s="15" t="s">
        <v>18</v>
      </c>
      <c r="B9" s="15" t="s">
        <v>176</v>
      </c>
      <c r="C9" s="15" t="s">
        <v>20</v>
      </c>
      <c r="D9" s="15" t="s">
        <v>21</v>
      </c>
      <c r="E9" s="15" t="s">
        <v>22</v>
      </c>
      <c r="F9" s="15" t="s">
        <v>23</v>
      </c>
      <c r="G9" s="15" t="s">
        <v>24</v>
      </c>
      <c r="H9" s="15" t="s">
        <v>25</v>
      </c>
      <c r="I9" s="15" t="s">
        <v>26</v>
      </c>
      <c r="J9" s="15" t="s">
        <v>27</v>
      </c>
      <c r="K9" s="15" t="s">
        <v>28</v>
      </c>
      <c r="L9" s="15" t="s">
        <v>29</v>
      </c>
    </row>
    <row r="10">
      <c r="A10" s="2" t="s">
        <v>509</v>
      </c>
      <c r="B10" s="41" t="s">
        <v>510</v>
      </c>
      <c r="C10" s="38" t="s">
        <v>511</v>
      </c>
      <c r="D10" s="38" t="s">
        <v>512</v>
      </c>
      <c r="E10" s="2" t="s">
        <v>246</v>
      </c>
      <c r="F10" s="2" t="s">
        <v>513</v>
      </c>
      <c r="G10" s="38" t="s">
        <v>514</v>
      </c>
      <c r="H10" s="2" t="s">
        <v>203</v>
      </c>
      <c r="I10" s="18" t="s">
        <v>8</v>
      </c>
      <c r="J10" s="18" t="s">
        <v>13</v>
      </c>
      <c r="K10" s="16" t="s">
        <v>38</v>
      </c>
      <c r="L10" s="25"/>
    </row>
    <row r="11">
      <c r="A11" s="2" t="s">
        <v>515</v>
      </c>
      <c r="B11" s="30"/>
      <c r="C11" s="38" t="s">
        <v>516</v>
      </c>
      <c r="D11" s="1"/>
      <c r="E11" s="2" t="s">
        <v>246</v>
      </c>
      <c r="F11" s="2" t="s">
        <v>517</v>
      </c>
      <c r="G11" s="38" t="s">
        <v>518</v>
      </c>
      <c r="H11" s="2" t="s">
        <v>203</v>
      </c>
      <c r="I11" s="18" t="s">
        <v>8</v>
      </c>
      <c r="J11" s="18" t="s">
        <v>13</v>
      </c>
      <c r="K11" s="16" t="s">
        <v>38</v>
      </c>
      <c r="L11" s="25"/>
    </row>
    <row r="12">
      <c r="A12" s="2" t="s">
        <v>519</v>
      </c>
      <c r="B12" s="31"/>
      <c r="C12" s="38" t="s">
        <v>520</v>
      </c>
      <c r="D12" s="1"/>
      <c r="E12" s="2" t="s">
        <v>246</v>
      </c>
      <c r="F12" s="38" t="s">
        <v>521</v>
      </c>
      <c r="G12" s="38" t="s">
        <v>522</v>
      </c>
      <c r="H12" s="2" t="s">
        <v>203</v>
      </c>
      <c r="I12" s="18" t="s">
        <v>8</v>
      </c>
      <c r="J12" s="18" t="s">
        <v>13</v>
      </c>
      <c r="K12" s="16" t="s">
        <v>38</v>
      </c>
      <c r="L12" s="25"/>
    </row>
    <row r="13">
      <c r="A13" s="2" t="s">
        <v>523</v>
      </c>
      <c r="B13" s="42" t="s">
        <v>524</v>
      </c>
      <c r="C13" s="38" t="s">
        <v>525</v>
      </c>
      <c r="D13" s="38" t="s">
        <v>526</v>
      </c>
      <c r="E13" s="38" t="s">
        <v>527</v>
      </c>
      <c r="F13" s="38" t="s">
        <v>528</v>
      </c>
      <c r="G13" s="38" t="s">
        <v>529</v>
      </c>
      <c r="H13" s="38" t="s">
        <v>530</v>
      </c>
      <c r="I13" s="18" t="s">
        <v>8</v>
      </c>
      <c r="J13" s="18" t="s">
        <v>13</v>
      </c>
      <c r="K13" s="16" t="s">
        <v>51</v>
      </c>
      <c r="L13" s="25"/>
    </row>
    <row r="14">
      <c r="A14" s="2" t="s">
        <v>531</v>
      </c>
      <c r="B14" s="30"/>
      <c r="C14" s="38" t="s">
        <v>532</v>
      </c>
      <c r="D14" s="38" t="s">
        <v>533</v>
      </c>
      <c r="E14" s="38" t="s">
        <v>534</v>
      </c>
      <c r="F14" s="38" t="s">
        <v>535</v>
      </c>
      <c r="G14" s="38" t="s">
        <v>536</v>
      </c>
      <c r="H14" s="38" t="s">
        <v>537</v>
      </c>
      <c r="I14" s="18" t="s">
        <v>8</v>
      </c>
      <c r="J14" s="18" t="s">
        <v>13</v>
      </c>
      <c r="K14" s="16" t="s">
        <v>51</v>
      </c>
      <c r="L14" s="25"/>
    </row>
    <row r="15">
      <c r="A15" s="2" t="s">
        <v>538</v>
      </c>
      <c r="B15" s="30"/>
      <c r="C15" s="38" t="s">
        <v>539</v>
      </c>
      <c r="D15" s="38" t="s">
        <v>540</v>
      </c>
      <c r="E15" s="38" t="s">
        <v>541</v>
      </c>
      <c r="F15" s="2" t="s">
        <v>542</v>
      </c>
      <c r="G15" s="38" t="s">
        <v>543</v>
      </c>
      <c r="H15" s="38" t="s">
        <v>544</v>
      </c>
      <c r="I15" s="18" t="s">
        <v>8</v>
      </c>
      <c r="J15" s="18" t="s">
        <v>13</v>
      </c>
      <c r="K15" s="16" t="s">
        <v>51</v>
      </c>
      <c r="L15" s="25"/>
    </row>
    <row r="16">
      <c r="A16" s="2" t="s">
        <v>545</v>
      </c>
      <c r="B16" s="30"/>
      <c r="C16" s="43" t="s">
        <v>546</v>
      </c>
      <c r="D16" s="38"/>
      <c r="E16" s="38" t="s">
        <v>547</v>
      </c>
      <c r="F16" s="2" t="s">
        <v>548</v>
      </c>
      <c r="G16" s="38" t="s">
        <v>549</v>
      </c>
      <c r="H16" s="38" t="s">
        <v>544</v>
      </c>
      <c r="I16" s="18" t="s">
        <v>12</v>
      </c>
      <c r="J16" s="18" t="s">
        <v>13</v>
      </c>
      <c r="K16" s="16" t="s">
        <v>38</v>
      </c>
      <c r="L16" s="25"/>
    </row>
    <row r="17">
      <c r="A17" s="2" t="s">
        <v>550</v>
      </c>
      <c r="B17" s="30"/>
      <c r="C17" s="43" t="s">
        <v>551</v>
      </c>
      <c r="D17" s="38"/>
      <c r="E17" s="38" t="s">
        <v>552</v>
      </c>
      <c r="F17" s="2" t="s">
        <v>553</v>
      </c>
      <c r="G17" s="38" t="s">
        <v>554</v>
      </c>
      <c r="H17" s="38" t="s">
        <v>544</v>
      </c>
      <c r="I17" s="18" t="s">
        <v>12</v>
      </c>
      <c r="J17" s="18" t="s">
        <v>13</v>
      </c>
      <c r="K17" s="16" t="s">
        <v>51</v>
      </c>
      <c r="L17" s="25"/>
    </row>
    <row r="18">
      <c r="A18" s="2" t="s">
        <v>555</v>
      </c>
      <c r="B18" s="30"/>
      <c r="C18" s="43" t="s">
        <v>556</v>
      </c>
      <c r="D18" s="38" t="s">
        <v>557</v>
      </c>
      <c r="E18" s="2" t="s">
        <v>558</v>
      </c>
      <c r="F18" s="2" t="s">
        <v>559</v>
      </c>
      <c r="G18" s="38" t="s">
        <v>560</v>
      </c>
      <c r="H18" s="38" t="s">
        <v>544</v>
      </c>
      <c r="I18" s="18" t="s">
        <v>8</v>
      </c>
      <c r="J18" s="18" t="s">
        <v>13</v>
      </c>
      <c r="K18" s="16" t="s">
        <v>51</v>
      </c>
      <c r="L18" s="25"/>
    </row>
    <row r="19">
      <c r="A19" s="44" t="s">
        <v>561</v>
      </c>
      <c r="B19" s="30"/>
      <c r="C19" s="38" t="s">
        <v>562</v>
      </c>
      <c r="D19" s="38" t="s">
        <v>563</v>
      </c>
      <c r="E19" s="38" t="s">
        <v>564</v>
      </c>
      <c r="F19" s="2" t="s">
        <v>565</v>
      </c>
      <c r="G19" s="38" t="s">
        <v>566</v>
      </c>
      <c r="H19" s="38" t="s">
        <v>544</v>
      </c>
      <c r="I19" s="18" t="s">
        <v>8</v>
      </c>
      <c r="J19" s="18" t="s">
        <v>13</v>
      </c>
      <c r="K19" s="16" t="s">
        <v>51</v>
      </c>
      <c r="L19" s="25"/>
    </row>
    <row r="20">
      <c r="A20" s="44" t="s">
        <v>567</v>
      </c>
      <c r="B20" s="30"/>
      <c r="C20" s="38" t="s">
        <v>568</v>
      </c>
      <c r="D20" s="38" t="s">
        <v>569</v>
      </c>
      <c r="E20" s="38" t="s">
        <v>570</v>
      </c>
      <c r="F20" s="38" t="s">
        <v>571</v>
      </c>
      <c r="G20" s="38" t="s">
        <v>572</v>
      </c>
      <c r="H20" s="38" t="s">
        <v>544</v>
      </c>
      <c r="I20" s="18" t="s">
        <v>8</v>
      </c>
      <c r="J20" s="18" t="s">
        <v>13</v>
      </c>
      <c r="K20" s="16" t="s">
        <v>51</v>
      </c>
      <c r="L20" s="25"/>
    </row>
    <row r="21">
      <c r="A21" s="45" t="s">
        <v>573</v>
      </c>
      <c r="B21" s="30"/>
      <c r="C21" s="2" t="s">
        <v>574</v>
      </c>
      <c r="D21" s="38"/>
      <c r="E21" s="38" t="s">
        <v>575</v>
      </c>
      <c r="F21" s="2" t="s">
        <v>576</v>
      </c>
      <c r="G21" s="38" t="s">
        <v>577</v>
      </c>
      <c r="H21" s="38" t="s">
        <v>544</v>
      </c>
      <c r="I21" s="18" t="s">
        <v>8</v>
      </c>
      <c r="J21" s="18" t="s">
        <v>13</v>
      </c>
      <c r="K21" s="16" t="s">
        <v>51</v>
      </c>
      <c r="L21" s="25"/>
    </row>
    <row r="22">
      <c r="A22" s="45" t="s">
        <v>578</v>
      </c>
      <c r="B22" s="30"/>
      <c r="C22" s="38" t="s">
        <v>579</v>
      </c>
      <c r="D22" s="38"/>
      <c r="E22" s="38" t="s">
        <v>580</v>
      </c>
      <c r="F22" s="2" t="s">
        <v>581</v>
      </c>
      <c r="G22" s="38" t="s">
        <v>582</v>
      </c>
      <c r="H22" s="38" t="s">
        <v>583</v>
      </c>
      <c r="I22" s="18" t="s">
        <v>12</v>
      </c>
      <c r="J22" s="18" t="s">
        <v>13</v>
      </c>
      <c r="K22" s="16" t="s">
        <v>51</v>
      </c>
      <c r="L22" s="25"/>
    </row>
    <row r="23">
      <c r="A23" s="45" t="s">
        <v>584</v>
      </c>
      <c r="B23" s="30"/>
      <c r="C23" s="38" t="s">
        <v>585</v>
      </c>
      <c r="D23" s="38"/>
      <c r="E23" s="38" t="s">
        <v>586</v>
      </c>
      <c r="F23" s="2" t="s">
        <v>587</v>
      </c>
      <c r="G23" s="38" t="s">
        <v>588</v>
      </c>
      <c r="H23" s="38" t="s">
        <v>583</v>
      </c>
      <c r="I23" s="18" t="s">
        <v>12</v>
      </c>
      <c r="J23" s="18" t="s">
        <v>13</v>
      </c>
      <c r="K23" s="16" t="s">
        <v>51</v>
      </c>
      <c r="L23" s="25"/>
    </row>
    <row r="24">
      <c r="A24" s="45" t="s">
        <v>589</v>
      </c>
      <c r="B24" s="30"/>
      <c r="C24" s="38" t="s">
        <v>590</v>
      </c>
      <c r="D24" s="38"/>
      <c r="E24" s="38" t="s">
        <v>591</v>
      </c>
      <c r="F24" s="38" t="s">
        <v>592</v>
      </c>
      <c r="G24" s="38"/>
      <c r="H24" s="1"/>
      <c r="I24" s="18" t="s">
        <v>12</v>
      </c>
      <c r="J24" s="18" t="s">
        <v>13</v>
      </c>
      <c r="K24" s="16" t="s">
        <v>51</v>
      </c>
      <c r="L24" s="25"/>
    </row>
    <row r="25">
      <c r="A25" s="46" t="s">
        <v>593</v>
      </c>
      <c r="B25" s="31"/>
      <c r="C25" s="2" t="s">
        <v>594</v>
      </c>
      <c r="D25" s="38" t="s">
        <v>595</v>
      </c>
      <c r="E25" s="2" t="s">
        <v>246</v>
      </c>
      <c r="F25" s="2" t="s">
        <v>596</v>
      </c>
      <c r="G25" s="38" t="s">
        <v>597</v>
      </c>
      <c r="H25" s="1"/>
      <c r="I25" s="18" t="s">
        <v>8</v>
      </c>
      <c r="J25" s="18" t="s">
        <v>13</v>
      </c>
      <c r="K25" s="16"/>
      <c r="L25" s="25"/>
    </row>
    <row r="26">
      <c r="A26" s="46" t="s">
        <v>598</v>
      </c>
      <c r="B26" s="47" t="s">
        <v>599</v>
      </c>
      <c r="C26" s="38" t="s">
        <v>600</v>
      </c>
      <c r="D26" s="38" t="s">
        <v>601</v>
      </c>
      <c r="E26" s="38" t="s">
        <v>602</v>
      </c>
      <c r="F26" s="38" t="s">
        <v>603</v>
      </c>
      <c r="G26" s="38" t="s">
        <v>604</v>
      </c>
      <c r="H26" s="1"/>
      <c r="I26" s="18" t="s">
        <v>8</v>
      </c>
      <c r="J26" s="18" t="s">
        <v>13</v>
      </c>
      <c r="K26" s="25"/>
      <c r="L26" s="25"/>
    </row>
    <row r="27">
      <c r="A27" s="46" t="s">
        <v>605</v>
      </c>
      <c r="B27" s="30"/>
      <c r="C27" s="38" t="s">
        <v>606</v>
      </c>
      <c r="D27" s="38"/>
      <c r="E27" s="38" t="s">
        <v>607</v>
      </c>
      <c r="F27" s="38" t="s">
        <v>608</v>
      </c>
      <c r="G27" s="38" t="s">
        <v>609</v>
      </c>
      <c r="H27" s="1"/>
      <c r="I27" s="18" t="s">
        <v>8</v>
      </c>
      <c r="J27" s="18" t="s">
        <v>13</v>
      </c>
      <c r="K27" s="25"/>
      <c r="L27" s="25"/>
    </row>
    <row r="28">
      <c r="A28" s="46" t="s">
        <v>610</v>
      </c>
      <c r="B28" s="30"/>
      <c r="C28" s="38" t="s">
        <v>611</v>
      </c>
      <c r="D28" s="38" t="s">
        <v>612</v>
      </c>
      <c r="E28" s="38" t="s">
        <v>613</v>
      </c>
      <c r="F28" s="38" t="s">
        <v>614</v>
      </c>
      <c r="G28" s="38" t="s">
        <v>615</v>
      </c>
      <c r="H28" s="1"/>
      <c r="I28" s="18" t="s">
        <v>8</v>
      </c>
      <c r="J28" s="18" t="s">
        <v>13</v>
      </c>
      <c r="K28" s="25"/>
      <c r="L28" s="25"/>
    </row>
    <row r="29">
      <c r="A29" s="46" t="s">
        <v>616</v>
      </c>
      <c r="B29" s="31"/>
      <c r="C29" s="38" t="s">
        <v>617</v>
      </c>
      <c r="D29" s="1"/>
      <c r="E29" s="38" t="s">
        <v>618</v>
      </c>
      <c r="F29" s="38" t="s">
        <v>619</v>
      </c>
      <c r="G29" s="38" t="s">
        <v>620</v>
      </c>
      <c r="H29" s="1"/>
      <c r="I29" s="18" t="s">
        <v>8</v>
      </c>
      <c r="J29" s="18" t="s">
        <v>13</v>
      </c>
      <c r="K29" s="25"/>
      <c r="L29" s="25"/>
    </row>
    <row r="30">
      <c r="B30" s="48"/>
      <c r="I30" s="21"/>
      <c r="J30" s="21"/>
      <c r="K30" s="25"/>
      <c r="L30" s="25"/>
    </row>
    <row r="31">
      <c r="I31" s="21"/>
      <c r="J31" s="21"/>
      <c r="K31" s="25"/>
      <c r="L31" s="25"/>
    </row>
    <row r="32">
      <c r="I32" s="21"/>
      <c r="J32" s="21"/>
      <c r="K32" s="25"/>
      <c r="L32" s="25"/>
    </row>
    <row r="33">
      <c r="B33" s="48"/>
      <c r="I33" s="49"/>
      <c r="J33" s="49"/>
      <c r="K33" s="49"/>
      <c r="L33" s="25"/>
    </row>
    <row r="34">
      <c r="I34" s="49"/>
      <c r="J34" s="49"/>
      <c r="K34" s="49"/>
      <c r="L34" s="25"/>
    </row>
    <row r="35">
      <c r="I35" s="49"/>
      <c r="J35" s="49"/>
      <c r="K35" s="49"/>
      <c r="L35" s="25"/>
    </row>
    <row r="36">
      <c r="I36" s="49"/>
      <c r="J36" s="49"/>
      <c r="K36" s="49"/>
      <c r="L36" s="25"/>
    </row>
    <row r="37">
      <c r="I37" s="49"/>
      <c r="J37" s="49"/>
      <c r="K37" s="49"/>
      <c r="L37" s="25"/>
    </row>
    <row r="38">
      <c r="I38" s="49"/>
      <c r="J38" s="49"/>
      <c r="K38" s="49"/>
      <c r="L38" s="25"/>
    </row>
    <row r="39">
      <c r="I39" s="49"/>
      <c r="J39" s="49"/>
      <c r="K39" s="49"/>
      <c r="L39" s="25"/>
    </row>
    <row r="40">
      <c r="I40" s="49"/>
      <c r="J40" s="49"/>
      <c r="K40" s="49"/>
      <c r="L40" s="25"/>
    </row>
    <row r="41">
      <c r="I41" s="49"/>
      <c r="J41" s="49"/>
      <c r="K41" s="49"/>
      <c r="L41" s="25"/>
    </row>
    <row r="42">
      <c r="I42" s="49"/>
      <c r="J42" s="49"/>
      <c r="K42" s="49"/>
      <c r="L42" s="25"/>
    </row>
    <row r="43">
      <c r="I43" s="49"/>
      <c r="J43" s="49"/>
      <c r="K43" s="49"/>
      <c r="L43" s="25"/>
    </row>
    <row r="44">
      <c r="I44" s="49"/>
      <c r="J44" s="49"/>
      <c r="K44" s="49"/>
      <c r="L44" s="25"/>
    </row>
    <row r="45">
      <c r="I45" s="49"/>
      <c r="J45" s="49"/>
      <c r="K45" s="49"/>
      <c r="L45" s="25"/>
    </row>
    <row r="46">
      <c r="I46" s="49"/>
      <c r="J46" s="49"/>
      <c r="K46" s="49"/>
      <c r="L46" s="25"/>
    </row>
    <row r="47">
      <c r="I47" s="49"/>
      <c r="J47" s="49"/>
      <c r="K47" s="49"/>
      <c r="L47" s="25"/>
    </row>
    <row r="48">
      <c r="I48" s="49"/>
      <c r="J48" s="49"/>
      <c r="K48" s="49"/>
      <c r="L48" s="25"/>
    </row>
    <row r="49">
      <c r="I49" s="49"/>
      <c r="J49" s="49"/>
      <c r="K49" s="49"/>
      <c r="L49" s="25"/>
    </row>
    <row r="50">
      <c r="I50" s="49"/>
      <c r="J50" s="49"/>
      <c r="K50" s="49"/>
      <c r="L50" s="25"/>
    </row>
    <row r="51">
      <c r="I51" s="49"/>
      <c r="J51" s="49"/>
      <c r="K51" s="49"/>
      <c r="L51" s="25"/>
    </row>
    <row r="52">
      <c r="I52" s="49"/>
      <c r="J52" s="49"/>
      <c r="K52" s="49"/>
      <c r="L52" s="25"/>
    </row>
    <row r="53">
      <c r="I53" s="49"/>
      <c r="J53" s="49"/>
      <c r="K53" s="49"/>
      <c r="L53" s="25"/>
    </row>
    <row r="54">
      <c r="I54" s="49"/>
      <c r="J54" s="49"/>
      <c r="K54" s="49"/>
      <c r="L54" s="25"/>
    </row>
    <row r="55">
      <c r="I55" s="49"/>
      <c r="J55" s="49"/>
      <c r="K55" s="49"/>
      <c r="L55" s="25"/>
    </row>
    <row r="56">
      <c r="I56" s="49"/>
      <c r="J56" s="49"/>
      <c r="K56" s="49"/>
      <c r="L56" s="25"/>
    </row>
    <row r="57">
      <c r="I57" s="49"/>
      <c r="J57" s="49"/>
      <c r="K57" s="49"/>
      <c r="L57" s="25"/>
    </row>
    <row r="58">
      <c r="I58" s="49"/>
      <c r="J58" s="49"/>
      <c r="K58" s="49"/>
      <c r="L58" s="25"/>
    </row>
    <row r="59">
      <c r="I59" s="49"/>
      <c r="J59" s="49"/>
      <c r="K59" s="49"/>
      <c r="L59" s="25"/>
    </row>
    <row r="60">
      <c r="I60" s="49"/>
      <c r="J60" s="49"/>
      <c r="K60" s="49"/>
      <c r="L60" s="25"/>
    </row>
    <row r="61">
      <c r="I61" s="49"/>
      <c r="J61" s="49"/>
      <c r="K61" s="49"/>
      <c r="L61" s="25"/>
    </row>
    <row r="62">
      <c r="I62" s="49"/>
      <c r="J62" s="49"/>
      <c r="K62" s="49"/>
      <c r="L62" s="25"/>
    </row>
    <row r="63">
      <c r="I63" s="49"/>
      <c r="J63" s="49"/>
      <c r="K63" s="49"/>
      <c r="L63" s="25"/>
    </row>
    <row r="64">
      <c r="I64" s="49"/>
      <c r="J64" s="49"/>
      <c r="K64" s="49"/>
      <c r="L64" s="25"/>
    </row>
    <row r="65">
      <c r="I65" s="49"/>
      <c r="J65" s="49"/>
      <c r="K65" s="49"/>
      <c r="L65" s="25"/>
    </row>
    <row r="66">
      <c r="I66" s="49"/>
      <c r="J66" s="49"/>
      <c r="K66" s="49"/>
      <c r="L66" s="25"/>
    </row>
  </sheetData>
  <mergeCells count="6">
    <mergeCell ref="G2:H2"/>
    <mergeCell ref="J2:K2"/>
    <mergeCell ref="B10:B12"/>
    <mergeCell ref="B13:B25"/>
    <mergeCell ref="B26:B29"/>
    <mergeCell ref="B30:B32"/>
  </mergeCells>
  <conditionalFormatting sqref="K10:K32 L10:L66">
    <cfRule type="cellIs" dxfId="2" priority="1" operator="equal">
      <formula>"NE"</formula>
    </cfRule>
  </conditionalFormatting>
  <conditionalFormatting sqref="K10:K32 L10:L66">
    <cfRule type="cellIs" dxfId="3" priority="2" operator="equal">
      <formula>"NA"</formula>
    </cfRule>
  </conditionalFormatting>
  <conditionalFormatting sqref="K10:K32 L10:L66">
    <cfRule type="cellIs" dxfId="0" priority="3" operator="equal">
      <formula>"P"</formula>
    </cfRule>
  </conditionalFormatting>
  <conditionalFormatting sqref="K9:K32 L10:L66">
    <cfRule type="cellIs" dxfId="1" priority="4" operator="equal">
      <formula>"F"</formula>
    </cfRule>
  </conditionalFormatting>
  <dataValidations>
    <dataValidation type="list" allowBlank="1" showErrorMessage="1" sqref="I10:I32">
      <formula1>"Negative,Positive"</formula1>
    </dataValidation>
    <dataValidation type="list" allowBlank="1" showErrorMessage="1" sqref="J10:J32">
      <formula1>"High,Medium,Low"</formula1>
    </dataValidation>
    <dataValidation type="list" allowBlank="1" showErrorMessage="1" sqref="K10:K32">
      <formula1>"P,F,NE,NA"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7.63"/>
    <col customWidth="1" min="3" max="3" width="20.13"/>
    <col customWidth="1" min="4" max="4" width="15.25"/>
    <col customWidth="1" min="5" max="5" width="15.13"/>
    <col customWidth="1" min="6" max="6" width="23.38"/>
    <col customWidth="1" min="7" max="7" width="17.5"/>
    <col customWidth="1" min="8" max="8" width="16.38"/>
  </cols>
  <sheetData>
    <row r="1" ht="1.5" customHeight="1"/>
    <row r="2">
      <c r="A2" s="2" t="s">
        <v>621</v>
      </c>
      <c r="B2" s="1"/>
      <c r="C2" s="1"/>
      <c r="D2" s="3" t="s">
        <v>1</v>
      </c>
      <c r="E2" s="3" t="s">
        <v>2</v>
      </c>
      <c r="F2" s="3"/>
      <c r="G2" s="4" t="s">
        <v>3</v>
      </c>
      <c r="H2" s="5"/>
      <c r="I2" s="1"/>
      <c r="J2" s="4" t="s">
        <v>4</v>
      </c>
      <c r="K2" s="5"/>
      <c r="L2" s="1"/>
    </row>
    <row r="3">
      <c r="A3" s="6" t="s">
        <v>5</v>
      </c>
      <c r="B3" s="2" t="s">
        <v>6</v>
      </c>
      <c r="C3" s="2"/>
      <c r="D3" s="7" t="s">
        <v>7</v>
      </c>
      <c r="E3" s="36">
        <f>COUNTIF(K10:K69, "P")</f>
        <v>31</v>
      </c>
      <c r="F3" s="9"/>
      <c r="G3" s="2" t="s">
        <v>8</v>
      </c>
      <c r="H3" s="10">
        <f>COUNTIF(I10:I69, "Positive")</f>
        <v>36</v>
      </c>
      <c r="I3" s="1"/>
      <c r="J3" s="2" t="s">
        <v>9</v>
      </c>
      <c r="K3" s="10">
        <f>COUNTIF(J10:J69, "High")</f>
        <v>34</v>
      </c>
      <c r="L3" s="1"/>
    </row>
    <row r="4">
      <c r="A4" s="6" t="s">
        <v>10</v>
      </c>
      <c r="B4" s="1"/>
      <c r="C4" s="1"/>
      <c r="D4" s="11" t="s">
        <v>11</v>
      </c>
      <c r="E4" s="36">
        <f>COUNTIF(K10:K69, "F")</f>
        <v>5</v>
      </c>
      <c r="F4" s="9"/>
      <c r="G4" s="2" t="s">
        <v>12</v>
      </c>
      <c r="H4" s="10">
        <f>COUNTIF(I10:I69, "Negative")</f>
        <v>5</v>
      </c>
      <c r="I4" s="1"/>
      <c r="J4" s="2" t="s">
        <v>13</v>
      </c>
      <c r="K4" s="10">
        <f>COUNTIF(J10:J69, "Medium")</f>
        <v>6</v>
      </c>
      <c r="L4" s="1"/>
    </row>
    <row r="5">
      <c r="A5" s="6" t="s">
        <v>622</v>
      </c>
      <c r="B5" s="1"/>
      <c r="C5" s="1"/>
      <c r="D5" s="12" t="s">
        <v>14</v>
      </c>
      <c r="E5" s="36">
        <f>COUNTIF(K10:K69, "NE")</f>
        <v>0</v>
      </c>
      <c r="F5" s="9"/>
      <c r="G5" s="6" t="s">
        <v>15</v>
      </c>
      <c r="H5" s="10">
        <f>SUM(H3:H4)</f>
        <v>41</v>
      </c>
      <c r="I5" s="1"/>
      <c r="J5" s="2" t="s">
        <v>16</v>
      </c>
      <c r="K5" s="10">
        <f>COUNTIF(J10:J69, "Low")</f>
        <v>1</v>
      </c>
      <c r="L5" s="1"/>
    </row>
    <row r="6">
      <c r="A6" s="1"/>
      <c r="B6" s="1"/>
      <c r="C6" s="1"/>
      <c r="D6" s="13" t="s">
        <v>17</v>
      </c>
      <c r="E6" s="8">
        <f>COUNTIF(K10:K69, "NA")</f>
        <v>5</v>
      </c>
      <c r="F6" s="9"/>
      <c r="G6" s="1"/>
      <c r="H6" s="1"/>
      <c r="I6" s="1"/>
      <c r="J6" s="6" t="s">
        <v>15</v>
      </c>
      <c r="K6" s="10">
        <f>SUM(K3:K5)</f>
        <v>41</v>
      </c>
      <c r="L6" s="1"/>
    </row>
    <row r="7">
      <c r="A7" s="1"/>
      <c r="B7" s="1"/>
      <c r="C7" s="1"/>
      <c r="D7" s="6" t="s">
        <v>15</v>
      </c>
      <c r="E7" s="10">
        <f>SUM(E3:E6)</f>
        <v>41</v>
      </c>
      <c r="F7" s="1"/>
      <c r="G7" s="1"/>
      <c r="H7" s="1"/>
      <c r="I7" s="1"/>
      <c r="J7" s="1"/>
      <c r="K7" s="1"/>
      <c r="L7" s="1"/>
    </row>
    <row r="9">
      <c r="A9" s="50" t="s">
        <v>18</v>
      </c>
      <c r="B9" s="50" t="s">
        <v>176</v>
      </c>
      <c r="C9" s="50" t="s">
        <v>20</v>
      </c>
      <c r="D9" s="50" t="s">
        <v>21</v>
      </c>
      <c r="E9" s="50" t="s">
        <v>22</v>
      </c>
      <c r="F9" s="50" t="s">
        <v>23</v>
      </c>
      <c r="G9" s="50" t="s">
        <v>24</v>
      </c>
      <c r="H9" s="50" t="s">
        <v>25</v>
      </c>
      <c r="I9" s="50" t="s">
        <v>26</v>
      </c>
      <c r="J9" s="50" t="s">
        <v>27</v>
      </c>
      <c r="K9" s="50" t="s">
        <v>28</v>
      </c>
      <c r="L9" s="50" t="s">
        <v>29</v>
      </c>
    </row>
    <row r="10">
      <c r="A10" s="51" t="s">
        <v>623</v>
      </c>
      <c r="B10" s="52" t="s">
        <v>624</v>
      </c>
      <c r="C10" s="53" t="s">
        <v>625</v>
      </c>
      <c r="D10" s="53" t="s">
        <v>626</v>
      </c>
      <c r="E10" s="54"/>
      <c r="F10" s="53" t="s">
        <v>627</v>
      </c>
      <c r="G10" s="53" t="s">
        <v>628</v>
      </c>
      <c r="H10" s="55" t="s">
        <v>203</v>
      </c>
      <c r="I10" s="55" t="s">
        <v>8</v>
      </c>
      <c r="J10" s="55" t="s">
        <v>9</v>
      </c>
      <c r="K10" s="51" t="s">
        <v>38</v>
      </c>
      <c r="L10" s="54"/>
    </row>
    <row r="11">
      <c r="A11" s="51" t="s">
        <v>629</v>
      </c>
      <c r="B11" s="30"/>
      <c r="C11" s="53" t="s">
        <v>630</v>
      </c>
      <c r="D11" s="54"/>
      <c r="E11" s="55" t="s">
        <v>631</v>
      </c>
      <c r="F11" s="53" t="s">
        <v>632</v>
      </c>
      <c r="G11" s="53" t="s">
        <v>633</v>
      </c>
      <c r="H11" s="53" t="s">
        <v>634</v>
      </c>
      <c r="I11" s="55" t="s">
        <v>8</v>
      </c>
      <c r="J11" s="55" t="s">
        <v>9</v>
      </c>
      <c r="K11" s="51" t="s">
        <v>51</v>
      </c>
      <c r="L11" s="54"/>
    </row>
    <row r="12">
      <c r="A12" s="51" t="s">
        <v>635</v>
      </c>
      <c r="B12" s="30"/>
      <c r="C12" s="53" t="s">
        <v>636</v>
      </c>
      <c r="D12" s="54"/>
      <c r="E12" s="54"/>
      <c r="F12" s="53" t="s">
        <v>637</v>
      </c>
      <c r="G12" s="53" t="s">
        <v>638</v>
      </c>
      <c r="H12" s="53" t="s">
        <v>639</v>
      </c>
      <c r="I12" s="55" t="s">
        <v>8</v>
      </c>
      <c r="J12" s="55" t="s">
        <v>9</v>
      </c>
      <c r="K12" s="51" t="s">
        <v>38</v>
      </c>
      <c r="L12" s="54"/>
    </row>
    <row r="13">
      <c r="A13" s="51" t="s">
        <v>640</v>
      </c>
      <c r="B13" s="30"/>
      <c r="C13" s="53" t="s">
        <v>641</v>
      </c>
      <c r="D13" s="54"/>
      <c r="E13" s="54"/>
      <c r="F13" s="53" t="s">
        <v>642</v>
      </c>
      <c r="G13" s="53" t="s">
        <v>643</v>
      </c>
      <c r="H13" s="55" t="s">
        <v>203</v>
      </c>
      <c r="I13" s="55" t="s">
        <v>8</v>
      </c>
      <c r="J13" s="55" t="s">
        <v>9</v>
      </c>
      <c r="K13" s="51" t="s">
        <v>38</v>
      </c>
      <c r="L13" s="54"/>
    </row>
    <row r="14">
      <c r="A14" s="51" t="s">
        <v>644</v>
      </c>
      <c r="B14" s="30"/>
      <c r="C14" s="53" t="s">
        <v>645</v>
      </c>
      <c r="D14" s="53" t="s">
        <v>646</v>
      </c>
      <c r="E14" s="54"/>
      <c r="F14" s="53" t="s">
        <v>647</v>
      </c>
      <c r="G14" s="53" t="s">
        <v>648</v>
      </c>
      <c r="H14" s="55" t="s">
        <v>203</v>
      </c>
      <c r="I14" s="55" t="s">
        <v>8</v>
      </c>
      <c r="J14" s="55" t="s">
        <v>13</v>
      </c>
      <c r="K14" s="51" t="s">
        <v>38</v>
      </c>
      <c r="L14" s="54"/>
    </row>
    <row r="15">
      <c r="A15" s="51" t="s">
        <v>649</v>
      </c>
      <c r="B15" s="30"/>
      <c r="C15" s="53" t="s">
        <v>650</v>
      </c>
      <c r="D15" s="53" t="s">
        <v>651</v>
      </c>
      <c r="E15" s="53" t="s">
        <v>652</v>
      </c>
      <c r="F15" s="53" t="s">
        <v>653</v>
      </c>
      <c r="G15" s="53" t="s">
        <v>654</v>
      </c>
      <c r="H15" s="53" t="s">
        <v>655</v>
      </c>
      <c r="I15" s="55" t="s">
        <v>8</v>
      </c>
      <c r="J15" s="55" t="s">
        <v>9</v>
      </c>
      <c r="K15" s="51" t="s">
        <v>38</v>
      </c>
      <c r="L15" s="54"/>
    </row>
    <row r="16">
      <c r="A16" s="51" t="s">
        <v>656</v>
      </c>
      <c r="B16" s="30"/>
      <c r="C16" s="56" t="s">
        <v>657</v>
      </c>
      <c r="D16" s="56"/>
      <c r="E16" s="56" t="s">
        <v>658</v>
      </c>
      <c r="F16" s="56" t="s">
        <v>659</v>
      </c>
      <c r="G16" s="56" t="s">
        <v>660</v>
      </c>
      <c r="H16" s="55" t="s">
        <v>203</v>
      </c>
      <c r="I16" s="55" t="s">
        <v>12</v>
      </c>
      <c r="J16" s="55" t="s">
        <v>9</v>
      </c>
      <c r="K16" s="51" t="s">
        <v>38</v>
      </c>
      <c r="L16" s="54"/>
    </row>
    <row r="17">
      <c r="A17" s="51" t="s">
        <v>661</v>
      </c>
      <c r="B17" s="30"/>
      <c r="C17" s="56" t="s">
        <v>662</v>
      </c>
      <c r="D17" s="56" t="s">
        <v>663</v>
      </c>
      <c r="E17" s="56" t="s">
        <v>664</v>
      </c>
      <c r="F17" s="56" t="s">
        <v>665</v>
      </c>
      <c r="G17" s="56" t="s">
        <v>666</v>
      </c>
      <c r="H17" s="55" t="s">
        <v>203</v>
      </c>
      <c r="I17" s="55" t="s">
        <v>8</v>
      </c>
      <c r="J17" s="55" t="s">
        <v>9</v>
      </c>
      <c r="K17" s="51" t="s">
        <v>38</v>
      </c>
      <c r="L17" s="54"/>
    </row>
    <row r="18">
      <c r="A18" s="51" t="s">
        <v>667</v>
      </c>
      <c r="B18" s="30"/>
      <c r="C18" s="53" t="s">
        <v>668</v>
      </c>
      <c r="D18" s="54"/>
      <c r="E18" s="53" t="s">
        <v>669</v>
      </c>
      <c r="F18" s="53" t="s">
        <v>670</v>
      </c>
      <c r="G18" s="53" t="s">
        <v>671</v>
      </c>
      <c r="H18" s="55" t="s">
        <v>203</v>
      </c>
      <c r="I18" s="55" t="s">
        <v>8</v>
      </c>
      <c r="J18" s="55" t="s">
        <v>9</v>
      </c>
      <c r="K18" s="51" t="s">
        <v>38</v>
      </c>
      <c r="L18" s="54"/>
    </row>
    <row r="19">
      <c r="A19" s="51" t="s">
        <v>672</v>
      </c>
      <c r="B19" s="30"/>
      <c r="C19" s="53" t="s">
        <v>673</v>
      </c>
      <c r="D19" s="54"/>
      <c r="E19" s="53" t="s">
        <v>669</v>
      </c>
      <c r="F19" s="53" t="s">
        <v>674</v>
      </c>
      <c r="G19" s="53" t="s">
        <v>671</v>
      </c>
      <c r="H19" s="55" t="s">
        <v>203</v>
      </c>
      <c r="I19" s="55" t="s">
        <v>8</v>
      </c>
      <c r="J19" s="55" t="s">
        <v>9</v>
      </c>
      <c r="K19" s="51" t="s">
        <v>38</v>
      </c>
      <c r="L19" s="54"/>
    </row>
    <row r="20">
      <c r="A20" s="51" t="s">
        <v>675</v>
      </c>
      <c r="B20" s="30"/>
      <c r="C20" s="53" t="s">
        <v>676</v>
      </c>
      <c r="D20" s="54"/>
      <c r="E20" s="53" t="s">
        <v>677</v>
      </c>
      <c r="F20" s="53" t="s">
        <v>678</v>
      </c>
      <c r="G20" s="53" t="s">
        <v>679</v>
      </c>
      <c r="H20" s="55" t="s">
        <v>203</v>
      </c>
      <c r="I20" s="55" t="s">
        <v>8</v>
      </c>
      <c r="J20" s="55" t="s">
        <v>9</v>
      </c>
      <c r="K20" s="51" t="s">
        <v>38</v>
      </c>
      <c r="L20" s="54"/>
    </row>
    <row r="21">
      <c r="A21" s="51" t="s">
        <v>680</v>
      </c>
      <c r="B21" s="30"/>
      <c r="C21" s="53" t="s">
        <v>681</v>
      </c>
      <c r="D21" s="54"/>
      <c r="E21" s="53" t="s">
        <v>682</v>
      </c>
      <c r="F21" s="55" t="s">
        <v>683</v>
      </c>
      <c r="G21" s="53" t="s">
        <v>684</v>
      </c>
      <c r="H21" s="55" t="s">
        <v>203</v>
      </c>
      <c r="I21" s="55" t="s">
        <v>8</v>
      </c>
      <c r="J21" s="55" t="s">
        <v>9</v>
      </c>
      <c r="K21" s="51" t="s">
        <v>38</v>
      </c>
      <c r="L21" s="54"/>
    </row>
    <row r="22">
      <c r="A22" s="51" t="s">
        <v>685</v>
      </c>
      <c r="B22" s="30"/>
      <c r="C22" s="53" t="s">
        <v>686</v>
      </c>
      <c r="D22" s="53" t="s">
        <v>687</v>
      </c>
      <c r="E22" s="53" t="s">
        <v>682</v>
      </c>
      <c r="F22" s="53" t="s">
        <v>688</v>
      </c>
      <c r="G22" s="53" t="s">
        <v>689</v>
      </c>
      <c r="H22" s="55" t="s">
        <v>203</v>
      </c>
      <c r="I22" s="55" t="s">
        <v>8</v>
      </c>
      <c r="J22" s="55" t="s">
        <v>9</v>
      </c>
      <c r="K22" s="51" t="s">
        <v>38</v>
      </c>
      <c r="L22" s="54"/>
    </row>
    <row r="23">
      <c r="A23" s="51" t="s">
        <v>690</v>
      </c>
      <c r="B23" s="30"/>
      <c r="C23" s="53" t="s">
        <v>691</v>
      </c>
      <c r="D23" s="54"/>
      <c r="E23" s="53" t="s">
        <v>692</v>
      </c>
      <c r="F23" s="53" t="s">
        <v>693</v>
      </c>
      <c r="G23" s="53" t="s">
        <v>694</v>
      </c>
      <c r="H23" s="53" t="s">
        <v>695</v>
      </c>
      <c r="I23" s="55" t="s">
        <v>8</v>
      </c>
      <c r="J23" s="55" t="s">
        <v>9</v>
      </c>
      <c r="K23" s="51" t="s">
        <v>168</v>
      </c>
      <c r="L23" s="54"/>
    </row>
    <row r="24">
      <c r="A24" s="51" t="s">
        <v>696</v>
      </c>
      <c r="B24" s="30"/>
      <c r="C24" s="53" t="s">
        <v>697</v>
      </c>
      <c r="D24" s="54"/>
      <c r="E24" s="53" t="s">
        <v>698</v>
      </c>
      <c r="F24" s="53" t="s">
        <v>699</v>
      </c>
      <c r="G24" s="53" t="s">
        <v>700</v>
      </c>
      <c r="H24" s="55" t="s">
        <v>203</v>
      </c>
      <c r="I24" s="55" t="s">
        <v>8</v>
      </c>
      <c r="J24" s="55" t="s">
        <v>9</v>
      </c>
      <c r="K24" s="51" t="s">
        <v>38</v>
      </c>
      <c r="L24" s="54"/>
    </row>
    <row r="25">
      <c r="A25" s="51" t="s">
        <v>701</v>
      </c>
      <c r="B25" s="31"/>
      <c r="C25" s="53" t="s">
        <v>702</v>
      </c>
      <c r="D25" s="54"/>
      <c r="E25" s="53" t="s">
        <v>692</v>
      </c>
      <c r="F25" s="57" t="s">
        <v>703</v>
      </c>
      <c r="G25" s="53" t="s">
        <v>704</v>
      </c>
      <c r="H25" s="53" t="s">
        <v>695</v>
      </c>
      <c r="I25" s="55" t="s">
        <v>8</v>
      </c>
      <c r="J25" s="55" t="s">
        <v>9</v>
      </c>
      <c r="K25" s="51" t="s">
        <v>168</v>
      </c>
      <c r="L25" s="54"/>
    </row>
    <row r="26" ht="111.0" customHeight="1">
      <c r="A26" s="51" t="s">
        <v>705</v>
      </c>
      <c r="B26" s="58"/>
      <c r="C26" s="53" t="s">
        <v>706</v>
      </c>
      <c r="D26" s="54"/>
      <c r="E26" s="53" t="s">
        <v>707</v>
      </c>
      <c r="F26" s="55" t="s">
        <v>708</v>
      </c>
      <c r="G26" s="53" t="s">
        <v>709</v>
      </c>
      <c r="H26" s="53" t="s">
        <v>710</v>
      </c>
      <c r="I26" s="55" t="s">
        <v>8</v>
      </c>
      <c r="J26" s="55" t="s">
        <v>9</v>
      </c>
      <c r="K26" s="51" t="s">
        <v>168</v>
      </c>
      <c r="L26" s="54"/>
    </row>
    <row r="27" ht="42.75" customHeight="1">
      <c r="A27" s="51" t="s">
        <v>711</v>
      </c>
      <c r="B27" s="31"/>
      <c r="C27" s="53" t="s">
        <v>712</v>
      </c>
      <c r="D27" s="54"/>
      <c r="E27" s="54"/>
      <c r="F27" s="53" t="s">
        <v>713</v>
      </c>
      <c r="G27" s="53" t="s">
        <v>714</v>
      </c>
      <c r="H27" s="55" t="s">
        <v>203</v>
      </c>
      <c r="I27" s="55" t="s">
        <v>8</v>
      </c>
      <c r="J27" s="55" t="s">
        <v>9</v>
      </c>
      <c r="K27" s="51" t="s">
        <v>38</v>
      </c>
      <c r="L27" s="54"/>
    </row>
    <row r="28">
      <c r="A28" s="51" t="s">
        <v>715</v>
      </c>
      <c r="B28" s="59" t="s">
        <v>716</v>
      </c>
      <c r="C28" s="38" t="s">
        <v>717</v>
      </c>
      <c r="D28" s="60" t="s">
        <v>718</v>
      </c>
      <c r="E28" s="61" t="s">
        <v>719</v>
      </c>
      <c r="F28" s="38" t="s">
        <v>720</v>
      </c>
      <c r="G28" s="38" t="s">
        <v>721</v>
      </c>
      <c r="H28" s="38" t="s">
        <v>722</v>
      </c>
      <c r="I28" s="18" t="s">
        <v>8</v>
      </c>
      <c r="J28" s="18" t="s">
        <v>9</v>
      </c>
      <c r="K28" s="16" t="s">
        <v>51</v>
      </c>
      <c r="L28" s="1"/>
    </row>
    <row r="29">
      <c r="A29" s="6" t="s">
        <v>723</v>
      </c>
      <c r="B29" s="30"/>
      <c r="C29" s="38" t="s">
        <v>724</v>
      </c>
      <c r="D29" s="38" t="s">
        <v>718</v>
      </c>
      <c r="E29" s="38" t="s">
        <v>725</v>
      </c>
      <c r="F29" s="38" t="s">
        <v>726</v>
      </c>
      <c r="G29" s="38" t="s">
        <v>727</v>
      </c>
      <c r="H29" s="2" t="s">
        <v>203</v>
      </c>
      <c r="I29" s="18" t="s">
        <v>8</v>
      </c>
      <c r="J29" s="18" t="s">
        <v>9</v>
      </c>
      <c r="K29" s="16" t="s">
        <v>38</v>
      </c>
      <c r="L29" s="1"/>
    </row>
    <row r="30">
      <c r="A30" s="51" t="s">
        <v>728</v>
      </c>
      <c r="B30" s="30"/>
      <c r="C30" s="38" t="s">
        <v>729</v>
      </c>
      <c r="D30" s="38" t="s">
        <v>718</v>
      </c>
      <c r="E30" s="38" t="s">
        <v>730</v>
      </c>
      <c r="F30" s="38" t="s">
        <v>731</v>
      </c>
      <c r="G30" s="38" t="s">
        <v>732</v>
      </c>
      <c r="H30" s="2" t="s">
        <v>203</v>
      </c>
      <c r="I30" s="18" t="s">
        <v>8</v>
      </c>
      <c r="J30" s="18" t="s">
        <v>9</v>
      </c>
      <c r="K30" s="16" t="s">
        <v>38</v>
      </c>
      <c r="L30" s="1"/>
    </row>
    <row r="31">
      <c r="A31" s="51" t="s">
        <v>733</v>
      </c>
      <c r="B31" s="30"/>
      <c r="C31" s="38" t="s">
        <v>734</v>
      </c>
      <c r="D31" s="38" t="s">
        <v>718</v>
      </c>
      <c r="E31" s="38" t="s">
        <v>735</v>
      </c>
      <c r="F31" s="38" t="s">
        <v>736</v>
      </c>
      <c r="G31" s="38" t="s">
        <v>737</v>
      </c>
      <c r="H31" s="38" t="s">
        <v>738</v>
      </c>
      <c r="I31" s="18" t="s">
        <v>8</v>
      </c>
      <c r="J31" s="18" t="s">
        <v>13</v>
      </c>
      <c r="K31" s="16" t="s">
        <v>51</v>
      </c>
      <c r="L31" s="1"/>
    </row>
    <row r="32">
      <c r="A32" s="51" t="s">
        <v>739</v>
      </c>
      <c r="B32" s="30"/>
      <c r="C32" s="38" t="s">
        <v>740</v>
      </c>
      <c r="D32" s="38" t="s">
        <v>718</v>
      </c>
      <c r="E32" s="38" t="s">
        <v>741</v>
      </c>
      <c r="F32" s="38" t="s">
        <v>742</v>
      </c>
      <c r="G32" s="38" t="s">
        <v>743</v>
      </c>
      <c r="H32" s="2" t="s">
        <v>203</v>
      </c>
      <c r="I32" s="18" t="s">
        <v>8</v>
      </c>
      <c r="J32" s="18" t="s">
        <v>13</v>
      </c>
      <c r="K32" s="16" t="s">
        <v>38</v>
      </c>
      <c r="L32" s="1"/>
    </row>
    <row r="33">
      <c r="A33" s="51" t="s">
        <v>744</v>
      </c>
      <c r="B33" s="30"/>
      <c r="C33" s="38" t="s">
        <v>745</v>
      </c>
      <c r="D33" s="38" t="s">
        <v>718</v>
      </c>
      <c r="E33" s="2" t="s">
        <v>746</v>
      </c>
      <c r="F33" s="2" t="s">
        <v>747</v>
      </c>
      <c r="G33" s="38" t="s">
        <v>748</v>
      </c>
      <c r="H33" s="2" t="s">
        <v>203</v>
      </c>
      <c r="I33" s="18" t="s">
        <v>8</v>
      </c>
      <c r="J33" s="18" t="s">
        <v>16</v>
      </c>
      <c r="K33" s="16" t="s">
        <v>38</v>
      </c>
      <c r="L33" s="1"/>
    </row>
    <row r="34">
      <c r="A34" s="51" t="s">
        <v>749</v>
      </c>
      <c r="B34" s="30"/>
      <c r="C34" s="38" t="s">
        <v>750</v>
      </c>
      <c r="D34" s="38" t="s">
        <v>718</v>
      </c>
      <c r="E34" s="62">
        <v>112.67</v>
      </c>
      <c r="F34" s="2" t="s">
        <v>751</v>
      </c>
      <c r="G34" s="38" t="s">
        <v>752</v>
      </c>
      <c r="H34" s="2" t="s">
        <v>203</v>
      </c>
      <c r="I34" s="18" t="s">
        <v>8</v>
      </c>
      <c r="J34" s="18" t="s">
        <v>9</v>
      </c>
      <c r="K34" s="16" t="s">
        <v>38</v>
      </c>
      <c r="L34" s="1"/>
    </row>
    <row r="35" ht="36.75" customHeight="1">
      <c r="A35" s="51" t="s">
        <v>753</v>
      </c>
      <c r="B35" s="31"/>
      <c r="C35" s="38" t="s">
        <v>754</v>
      </c>
      <c r="D35" s="38" t="s">
        <v>718</v>
      </c>
      <c r="E35" s="2" t="s">
        <v>755</v>
      </c>
      <c r="F35" s="2" t="s">
        <v>751</v>
      </c>
      <c r="G35" s="38" t="s">
        <v>756</v>
      </c>
      <c r="H35" s="2" t="s">
        <v>203</v>
      </c>
      <c r="I35" s="18" t="s">
        <v>8</v>
      </c>
      <c r="J35" s="18" t="s">
        <v>9</v>
      </c>
      <c r="K35" s="16" t="s">
        <v>38</v>
      </c>
      <c r="L35" s="1"/>
    </row>
    <row r="36" ht="28.5" customHeight="1">
      <c r="A36" s="51" t="s">
        <v>757</v>
      </c>
      <c r="B36" s="1"/>
      <c r="C36" s="38" t="s">
        <v>758</v>
      </c>
      <c r="D36" s="38" t="s">
        <v>718</v>
      </c>
      <c r="E36" s="38" t="s">
        <v>759</v>
      </c>
      <c r="F36" s="38" t="s">
        <v>760</v>
      </c>
      <c r="G36" s="38" t="s">
        <v>761</v>
      </c>
      <c r="H36" s="2" t="s">
        <v>203</v>
      </c>
      <c r="I36" s="18" t="s">
        <v>8</v>
      </c>
      <c r="J36" s="18" t="s">
        <v>9</v>
      </c>
      <c r="K36" s="16" t="s">
        <v>38</v>
      </c>
      <c r="L36" s="1"/>
    </row>
    <row r="37">
      <c r="A37" s="51" t="s">
        <v>762</v>
      </c>
      <c r="B37" s="63"/>
      <c r="C37" s="38" t="s">
        <v>763</v>
      </c>
      <c r="D37" s="38" t="s">
        <v>718</v>
      </c>
      <c r="E37" s="38"/>
      <c r="F37" s="2" t="s">
        <v>764</v>
      </c>
      <c r="G37" s="38" t="s">
        <v>765</v>
      </c>
      <c r="H37" s="2" t="s">
        <v>203</v>
      </c>
      <c r="I37" s="18" t="s">
        <v>8</v>
      </c>
      <c r="J37" s="18" t="s">
        <v>9</v>
      </c>
      <c r="K37" s="16" t="s">
        <v>38</v>
      </c>
      <c r="L37" s="1"/>
    </row>
    <row r="38">
      <c r="A38" s="51" t="s">
        <v>766</v>
      </c>
      <c r="B38" s="63"/>
      <c r="C38" s="38" t="s">
        <v>767</v>
      </c>
      <c r="D38" s="38" t="s">
        <v>718</v>
      </c>
      <c r="E38" s="38" t="s">
        <v>768</v>
      </c>
      <c r="F38" s="38" t="s">
        <v>769</v>
      </c>
      <c r="G38" s="38" t="s">
        <v>770</v>
      </c>
      <c r="H38" s="2" t="s">
        <v>203</v>
      </c>
      <c r="I38" s="18" t="s">
        <v>8</v>
      </c>
      <c r="J38" s="18" t="s">
        <v>9</v>
      </c>
      <c r="K38" s="16" t="s">
        <v>38</v>
      </c>
      <c r="L38" s="1"/>
    </row>
    <row r="39">
      <c r="A39" s="51" t="s">
        <v>771</v>
      </c>
      <c r="B39" s="63"/>
      <c r="C39" s="38" t="s">
        <v>772</v>
      </c>
      <c r="D39" s="38" t="s">
        <v>718</v>
      </c>
      <c r="E39" s="38"/>
      <c r="F39" s="2" t="s">
        <v>773</v>
      </c>
      <c r="G39" s="38" t="s">
        <v>774</v>
      </c>
      <c r="H39" s="2" t="s">
        <v>203</v>
      </c>
      <c r="I39" s="18" t="s">
        <v>12</v>
      </c>
      <c r="J39" s="18" t="s">
        <v>9</v>
      </c>
      <c r="K39" s="16" t="s">
        <v>38</v>
      </c>
      <c r="L39" s="1"/>
    </row>
    <row r="40">
      <c r="A40" s="51"/>
      <c r="B40" s="63"/>
      <c r="C40" s="38" t="s">
        <v>775</v>
      </c>
      <c r="D40" s="38" t="s">
        <v>718</v>
      </c>
      <c r="E40" s="38" t="s">
        <v>776</v>
      </c>
      <c r="F40" s="2" t="s">
        <v>777</v>
      </c>
      <c r="G40" s="38" t="s">
        <v>778</v>
      </c>
      <c r="H40" s="38" t="s">
        <v>779</v>
      </c>
      <c r="I40" s="18" t="s">
        <v>8</v>
      </c>
      <c r="J40" s="18" t="s">
        <v>9</v>
      </c>
      <c r="K40" s="16" t="s">
        <v>168</v>
      </c>
      <c r="L40" s="1"/>
    </row>
    <row r="41">
      <c r="A41" s="51" t="s">
        <v>780</v>
      </c>
      <c r="B41" s="37" t="s">
        <v>781</v>
      </c>
      <c r="C41" s="38" t="s">
        <v>782</v>
      </c>
      <c r="D41" s="38" t="s">
        <v>718</v>
      </c>
      <c r="E41" s="38" t="s">
        <v>783</v>
      </c>
      <c r="F41" s="2" t="s">
        <v>784</v>
      </c>
      <c r="G41" s="38" t="s">
        <v>785</v>
      </c>
      <c r="H41" s="2" t="s">
        <v>203</v>
      </c>
      <c r="I41" s="18" t="s">
        <v>8</v>
      </c>
      <c r="J41" s="18" t="s">
        <v>9</v>
      </c>
      <c r="K41" s="16" t="s">
        <v>38</v>
      </c>
      <c r="L41" s="1"/>
    </row>
    <row r="42">
      <c r="A42" s="51" t="s">
        <v>786</v>
      </c>
      <c r="B42" s="30"/>
      <c r="C42" s="38" t="s">
        <v>787</v>
      </c>
      <c r="D42" s="1"/>
      <c r="E42" s="1"/>
      <c r="F42" s="2" t="s">
        <v>788</v>
      </c>
      <c r="G42" s="38" t="s">
        <v>789</v>
      </c>
      <c r="H42" s="2" t="s">
        <v>203</v>
      </c>
      <c r="I42" s="18" t="s">
        <v>8</v>
      </c>
      <c r="J42" s="18" t="s">
        <v>9</v>
      </c>
      <c r="K42" s="16" t="s">
        <v>38</v>
      </c>
      <c r="L42" s="1"/>
    </row>
    <row r="43">
      <c r="A43" s="51" t="s">
        <v>790</v>
      </c>
      <c r="B43" s="30"/>
      <c r="C43" s="38" t="s">
        <v>791</v>
      </c>
      <c r="D43" s="1"/>
      <c r="E43" s="38" t="s">
        <v>792</v>
      </c>
      <c r="F43" s="38" t="s">
        <v>793</v>
      </c>
      <c r="G43" s="38" t="s">
        <v>794</v>
      </c>
      <c r="H43" s="2" t="s">
        <v>174</v>
      </c>
      <c r="I43" s="18" t="s">
        <v>8</v>
      </c>
      <c r="J43" s="18" t="s">
        <v>9</v>
      </c>
      <c r="K43" s="16" t="s">
        <v>168</v>
      </c>
      <c r="L43" s="1"/>
    </row>
    <row r="44">
      <c r="A44" s="51" t="s">
        <v>795</v>
      </c>
      <c r="B44" s="30"/>
      <c r="C44" s="38" t="s">
        <v>796</v>
      </c>
      <c r="D44" s="1"/>
      <c r="E44" s="64">
        <v>0.0</v>
      </c>
      <c r="F44" s="38" t="s">
        <v>797</v>
      </c>
      <c r="G44" s="38" t="s">
        <v>798</v>
      </c>
      <c r="H44" s="2" t="s">
        <v>203</v>
      </c>
      <c r="I44" s="18" t="s">
        <v>12</v>
      </c>
      <c r="J44" s="18" t="s">
        <v>13</v>
      </c>
      <c r="K44" s="16" t="s">
        <v>38</v>
      </c>
      <c r="L44" s="1"/>
    </row>
    <row r="45">
      <c r="A45" s="51" t="s">
        <v>799</v>
      </c>
      <c r="B45" s="30"/>
      <c r="C45" s="38" t="s">
        <v>800</v>
      </c>
      <c r="D45" s="1"/>
      <c r="E45" s="2" t="s">
        <v>801</v>
      </c>
      <c r="F45" s="38" t="s">
        <v>802</v>
      </c>
      <c r="G45" s="38" t="s">
        <v>803</v>
      </c>
      <c r="H45" s="2" t="s">
        <v>203</v>
      </c>
      <c r="I45" s="18" t="s">
        <v>12</v>
      </c>
      <c r="J45" s="18" t="s">
        <v>13</v>
      </c>
      <c r="K45" s="16" t="s">
        <v>38</v>
      </c>
      <c r="L45" s="1"/>
    </row>
    <row r="46">
      <c r="A46" s="51" t="s">
        <v>804</v>
      </c>
      <c r="B46" s="30"/>
      <c r="C46" s="23" t="s">
        <v>805</v>
      </c>
      <c r="D46" s="1"/>
      <c r="E46" s="64">
        <v>9.54653334555E11</v>
      </c>
      <c r="F46" s="38" t="s">
        <v>806</v>
      </c>
      <c r="G46" s="38" t="s">
        <v>807</v>
      </c>
      <c r="H46" s="2" t="s">
        <v>203</v>
      </c>
      <c r="I46" s="18" t="s">
        <v>12</v>
      </c>
      <c r="J46" s="18" t="s">
        <v>13</v>
      </c>
      <c r="K46" s="16" t="s">
        <v>38</v>
      </c>
      <c r="L46" s="1"/>
    </row>
    <row r="47">
      <c r="A47" s="51" t="s">
        <v>808</v>
      </c>
      <c r="B47" s="30"/>
      <c r="C47" s="38" t="s">
        <v>809</v>
      </c>
      <c r="D47" s="1"/>
      <c r="E47" s="2" t="s">
        <v>810</v>
      </c>
      <c r="F47" s="38" t="s">
        <v>811</v>
      </c>
      <c r="G47" s="38" t="s">
        <v>812</v>
      </c>
      <c r="H47" s="2" t="s">
        <v>203</v>
      </c>
      <c r="I47" s="18" t="s">
        <v>8</v>
      </c>
      <c r="J47" s="18" t="s">
        <v>9</v>
      </c>
      <c r="K47" s="16" t="s">
        <v>51</v>
      </c>
      <c r="L47" s="1"/>
    </row>
    <row r="48">
      <c r="A48" s="51" t="s">
        <v>813</v>
      </c>
      <c r="B48" s="30"/>
      <c r="C48" s="38" t="s">
        <v>814</v>
      </c>
      <c r="D48" s="1"/>
      <c r="E48" s="2" t="s">
        <v>815</v>
      </c>
      <c r="F48" s="38" t="s">
        <v>816</v>
      </c>
      <c r="G48" s="38" t="s">
        <v>817</v>
      </c>
      <c r="H48" s="2" t="s">
        <v>203</v>
      </c>
      <c r="I48" s="18" t="s">
        <v>8</v>
      </c>
      <c r="J48" s="18" t="s">
        <v>9</v>
      </c>
      <c r="K48" s="16" t="s">
        <v>38</v>
      </c>
      <c r="L48" s="1"/>
    </row>
    <row r="49">
      <c r="A49" s="51" t="s">
        <v>818</v>
      </c>
      <c r="B49" s="30"/>
      <c r="C49" s="38" t="s">
        <v>819</v>
      </c>
      <c r="D49" s="1"/>
      <c r="E49" s="2" t="s">
        <v>820</v>
      </c>
      <c r="F49" s="38" t="s">
        <v>821</v>
      </c>
      <c r="G49" s="38" t="s">
        <v>817</v>
      </c>
      <c r="H49" s="2" t="s">
        <v>203</v>
      </c>
      <c r="I49" s="18" t="s">
        <v>8</v>
      </c>
      <c r="J49" s="18" t="s">
        <v>9</v>
      </c>
      <c r="K49" s="16" t="s">
        <v>38</v>
      </c>
      <c r="L49" s="1"/>
    </row>
    <row r="50">
      <c r="A50" s="51" t="s">
        <v>822</v>
      </c>
      <c r="B50" s="31"/>
      <c r="C50" s="38" t="s">
        <v>823</v>
      </c>
      <c r="D50" s="1"/>
      <c r="E50" s="2" t="s">
        <v>810</v>
      </c>
      <c r="F50" s="38" t="s">
        <v>824</v>
      </c>
      <c r="G50" s="38" t="s">
        <v>817</v>
      </c>
      <c r="H50" s="38" t="s">
        <v>825</v>
      </c>
      <c r="I50" s="18" t="s">
        <v>8</v>
      </c>
      <c r="J50" s="18" t="s">
        <v>9</v>
      </c>
      <c r="K50" s="16" t="s">
        <v>51</v>
      </c>
      <c r="L50" s="1"/>
    </row>
    <row r="51">
      <c r="A51" s="51" t="s">
        <v>826</v>
      </c>
      <c r="B51" s="1"/>
      <c r="C51" s="1"/>
      <c r="D51" s="1"/>
      <c r="E51" s="1"/>
      <c r="F51" s="1"/>
      <c r="G51" s="1"/>
      <c r="H51" s="1"/>
      <c r="I51" s="21"/>
      <c r="J51" s="21"/>
      <c r="K51" s="25"/>
      <c r="L51" s="1"/>
    </row>
    <row r="52">
      <c r="A52" s="1"/>
      <c r="B52" s="1"/>
      <c r="C52" s="1"/>
      <c r="D52" s="1"/>
      <c r="E52" s="1"/>
      <c r="F52" s="1"/>
      <c r="G52" s="1"/>
      <c r="H52" s="1"/>
      <c r="I52" s="21"/>
      <c r="J52" s="21"/>
      <c r="K52" s="25"/>
      <c r="L52" s="1"/>
    </row>
    <row r="53">
      <c r="A53" s="1"/>
      <c r="B53" s="1"/>
      <c r="C53" s="1"/>
      <c r="D53" s="1"/>
      <c r="E53" s="1"/>
      <c r="F53" s="1"/>
      <c r="G53" s="1"/>
      <c r="H53" s="1"/>
      <c r="I53" s="18"/>
      <c r="J53" s="21"/>
      <c r="K53" s="25"/>
      <c r="L53" s="1"/>
    </row>
    <row r="54">
      <c r="A54" s="1"/>
      <c r="B54" s="1"/>
      <c r="C54" s="1"/>
      <c r="D54" s="1"/>
      <c r="E54" s="1"/>
      <c r="F54" s="1"/>
      <c r="G54" s="1"/>
      <c r="H54" s="1"/>
      <c r="I54" s="21"/>
      <c r="J54" s="21"/>
      <c r="K54" s="25"/>
      <c r="L54" s="1"/>
    </row>
    <row r="55">
      <c r="A55" s="1"/>
      <c r="B55" s="1"/>
      <c r="C55" s="1"/>
      <c r="D55" s="1"/>
      <c r="E55" s="1"/>
      <c r="F55" s="1"/>
      <c r="G55" s="1"/>
      <c r="H55" s="1"/>
      <c r="I55" s="21"/>
      <c r="J55" s="21"/>
      <c r="K55" s="25"/>
      <c r="L55" s="1"/>
    </row>
    <row r="56">
      <c r="A56" s="1"/>
      <c r="B56" s="1"/>
      <c r="C56" s="1"/>
      <c r="D56" s="1"/>
      <c r="E56" s="1"/>
      <c r="F56" s="1"/>
      <c r="G56" s="1"/>
      <c r="H56" s="1"/>
      <c r="I56" s="21"/>
      <c r="J56" s="21"/>
      <c r="K56" s="25"/>
      <c r="L56" s="1"/>
    </row>
    <row r="57">
      <c r="A57" s="1"/>
      <c r="B57" s="1"/>
      <c r="C57" s="1"/>
      <c r="D57" s="1"/>
      <c r="E57" s="1"/>
      <c r="F57" s="1"/>
      <c r="G57" s="1"/>
      <c r="H57" s="1"/>
      <c r="I57" s="21"/>
      <c r="J57" s="21"/>
      <c r="K57" s="25"/>
      <c r="L57" s="1"/>
    </row>
    <row r="58">
      <c r="A58" s="1"/>
      <c r="B58" s="1"/>
      <c r="C58" s="1"/>
      <c r="D58" s="1"/>
      <c r="E58" s="1"/>
      <c r="F58" s="1"/>
      <c r="G58" s="1"/>
      <c r="H58" s="1"/>
      <c r="I58" s="21"/>
      <c r="J58" s="21"/>
      <c r="K58" s="25"/>
      <c r="L58" s="1"/>
    </row>
    <row r="59">
      <c r="A59" s="1"/>
      <c r="B59" s="1"/>
      <c r="C59" s="1"/>
      <c r="D59" s="1"/>
      <c r="E59" s="1"/>
      <c r="F59" s="1"/>
      <c r="G59" s="1"/>
      <c r="H59" s="1"/>
      <c r="I59" s="21"/>
      <c r="J59" s="21"/>
      <c r="K59" s="25"/>
      <c r="L59" s="1"/>
    </row>
    <row r="60">
      <c r="A60" s="1"/>
      <c r="B60" s="1"/>
      <c r="C60" s="1"/>
      <c r="D60" s="1"/>
      <c r="E60" s="1"/>
      <c r="F60" s="1"/>
      <c r="G60" s="1"/>
      <c r="H60" s="1"/>
      <c r="I60" s="21"/>
      <c r="J60" s="21"/>
      <c r="K60" s="25"/>
      <c r="L60" s="1"/>
    </row>
    <row r="61">
      <c r="A61" s="1"/>
      <c r="B61" s="1"/>
      <c r="C61" s="1"/>
      <c r="D61" s="1"/>
      <c r="E61" s="1"/>
      <c r="F61" s="1"/>
      <c r="G61" s="1"/>
      <c r="H61" s="1"/>
      <c r="I61" s="21"/>
      <c r="J61" s="21"/>
      <c r="K61" s="25"/>
      <c r="L61" s="1"/>
    </row>
    <row r="62">
      <c r="A62" s="1"/>
      <c r="B62" s="1"/>
      <c r="C62" s="1"/>
      <c r="D62" s="1"/>
      <c r="E62" s="1"/>
      <c r="F62" s="1"/>
      <c r="G62" s="1"/>
      <c r="H62" s="1"/>
      <c r="I62" s="21"/>
      <c r="J62" s="21"/>
      <c r="K62" s="25"/>
      <c r="L62" s="1"/>
    </row>
    <row r="63">
      <c r="A63" s="1"/>
      <c r="B63" s="1"/>
      <c r="C63" s="1"/>
      <c r="D63" s="1"/>
      <c r="E63" s="1"/>
      <c r="F63" s="1"/>
      <c r="G63" s="1"/>
      <c r="H63" s="1"/>
      <c r="I63" s="21"/>
      <c r="J63" s="21"/>
      <c r="K63" s="25"/>
      <c r="L63" s="1"/>
    </row>
    <row r="64">
      <c r="A64" s="1"/>
      <c r="B64" s="1"/>
      <c r="C64" s="1"/>
      <c r="D64" s="1"/>
      <c r="E64" s="1"/>
      <c r="F64" s="1"/>
      <c r="G64" s="1"/>
      <c r="H64" s="1"/>
      <c r="I64" s="21"/>
      <c r="J64" s="21"/>
      <c r="K64" s="25"/>
      <c r="L64" s="1"/>
    </row>
    <row r="65">
      <c r="A65" s="1"/>
      <c r="B65" s="1"/>
      <c r="C65" s="1"/>
      <c r="D65" s="1"/>
      <c r="E65" s="1"/>
      <c r="F65" s="1"/>
      <c r="G65" s="1"/>
      <c r="H65" s="1"/>
      <c r="I65" s="21"/>
      <c r="J65" s="21"/>
      <c r="K65" s="25"/>
      <c r="L65" s="1"/>
    </row>
    <row r="66">
      <c r="A66" s="1"/>
      <c r="B66" s="1"/>
      <c r="C66" s="1"/>
      <c r="D66" s="1"/>
      <c r="E66" s="1"/>
      <c r="F66" s="1"/>
      <c r="G66" s="1"/>
      <c r="H66" s="1"/>
      <c r="I66" s="21"/>
      <c r="J66" s="21"/>
      <c r="K66" s="25"/>
      <c r="L66" s="1"/>
    </row>
    <row r="67">
      <c r="A67" s="1"/>
      <c r="B67" s="1"/>
      <c r="C67" s="1"/>
      <c r="D67" s="1"/>
      <c r="E67" s="1"/>
      <c r="F67" s="1"/>
      <c r="G67" s="1"/>
      <c r="H67" s="1"/>
      <c r="I67" s="21"/>
      <c r="J67" s="21"/>
      <c r="K67" s="25"/>
      <c r="L67" s="1"/>
    </row>
    <row r="68">
      <c r="A68" s="1"/>
      <c r="B68" s="1"/>
      <c r="C68" s="1"/>
      <c r="D68" s="1"/>
      <c r="E68" s="1"/>
      <c r="F68" s="1"/>
      <c r="G68" s="1"/>
      <c r="H68" s="1"/>
      <c r="I68" s="21"/>
      <c r="J68" s="21"/>
      <c r="K68" s="25"/>
      <c r="L68" s="1"/>
    </row>
  </sheetData>
  <mergeCells count="6">
    <mergeCell ref="G2:H2"/>
    <mergeCell ref="J2:K2"/>
    <mergeCell ref="B10:B25"/>
    <mergeCell ref="B26:B27"/>
    <mergeCell ref="B28:B35"/>
    <mergeCell ref="B41:B50"/>
  </mergeCells>
  <conditionalFormatting sqref="K10:K68">
    <cfRule type="cellIs" dxfId="2" priority="1" operator="equal">
      <formula>"NE"</formula>
    </cfRule>
  </conditionalFormatting>
  <conditionalFormatting sqref="K10:K68">
    <cfRule type="cellIs" dxfId="3" priority="2" operator="equal">
      <formula>"NA"</formula>
    </cfRule>
  </conditionalFormatting>
  <conditionalFormatting sqref="K10:K68">
    <cfRule type="cellIs" dxfId="0" priority="3" operator="equal">
      <formula>"P"</formula>
    </cfRule>
  </conditionalFormatting>
  <conditionalFormatting sqref="K9:K68">
    <cfRule type="cellIs" dxfId="1" priority="4" operator="equal">
      <formula>"F"</formula>
    </cfRule>
  </conditionalFormatting>
  <dataValidations>
    <dataValidation type="list" allowBlank="1" showErrorMessage="1" sqref="I10:I68">
      <formula1>"Negative,Positive"</formula1>
    </dataValidation>
    <dataValidation type="list" allowBlank="1" showErrorMessage="1" sqref="J10:J68">
      <formula1>"High,Medium,Low"</formula1>
    </dataValidation>
    <dataValidation type="list" allowBlank="1" showErrorMessage="1" sqref="K10:K68">
      <formula1>"P,F,NE,NA"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5"/>
    <col customWidth="1" min="3" max="3" width="14.75"/>
    <col customWidth="1" min="4" max="4" width="17.38"/>
    <col customWidth="1" min="6" max="6" width="15.5"/>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827</v>
      </c>
      <c r="B2" s="1"/>
      <c r="C2" s="1"/>
      <c r="D2" s="3" t="s">
        <v>1</v>
      </c>
      <c r="E2" s="3" t="s">
        <v>2</v>
      </c>
      <c r="F2" s="3"/>
      <c r="G2" s="4" t="s">
        <v>3</v>
      </c>
      <c r="H2" s="5"/>
      <c r="I2" s="1"/>
      <c r="J2" s="4" t="s">
        <v>4</v>
      </c>
      <c r="K2" s="5"/>
      <c r="L2" s="1"/>
      <c r="M2" s="1"/>
      <c r="N2" s="1"/>
      <c r="O2" s="1"/>
      <c r="P2" s="1"/>
      <c r="Q2" s="1"/>
      <c r="R2" s="1"/>
      <c r="S2" s="1"/>
      <c r="T2" s="1"/>
      <c r="U2" s="1"/>
      <c r="V2" s="1"/>
      <c r="W2" s="1"/>
      <c r="X2" s="1"/>
      <c r="Y2" s="1"/>
      <c r="Z2" s="1"/>
    </row>
    <row r="3">
      <c r="A3" s="6" t="s">
        <v>5</v>
      </c>
      <c r="B3" s="2" t="s">
        <v>6</v>
      </c>
      <c r="C3" s="2"/>
      <c r="D3" s="7" t="s">
        <v>7</v>
      </c>
      <c r="E3" s="36">
        <f>COUNTIF(K10:K69, "P")</f>
        <v>4</v>
      </c>
      <c r="F3" s="9"/>
      <c r="G3" s="2" t="s">
        <v>8</v>
      </c>
      <c r="H3" s="10">
        <f>COUNTIF(I10:I69, "Positive")</f>
        <v>13</v>
      </c>
      <c r="I3" s="1"/>
      <c r="J3" s="2" t="s">
        <v>9</v>
      </c>
      <c r="K3" s="10">
        <f>COUNTIF(J10:J69, "High")</f>
        <v>6</v>
      </c>
      <c r="L3" s="1"/>
      <c r="M3" s="1"/>
      <c r="N3" s="1"/>
      <c r="O3" s="1"/>
      <c r="P3" s="1"/>
      <c r="Q3" s="1"/>
      <c r="R3" s="1"/>
      <c r="S3" s="1"/>
      <c r="T3" s="1"/>
      <c r="U3" s="1"/>
      <c r="V3" s="1"/>
      <c r="W3" s="1"/>
      <c r="X3" s="1"/>
      <c r="Y3" s="1"/>
      <c r="Z3" s="1"/>
    </row>
    <row r="4">
      <c r="A4" s="6" t="s">
        <v>10</v>
      </c>
      <c r="B4" s="1"/>
      <c r="C4" s="1"/>
      <c r="D4" s="11" t="s">
        <v>11</v>
      </c>
      <c r="E4" s="36">
        <f>COUNTIF(K10:K69, "F")</f>
        <v>0</v>
      </c>
      <c r="F4" s="9"/>
      <c r="G4" s="2" t="s">
        <v>12</v>
      </c>
      <c r="H4" s="10">
        <f>COUNTIF(I10:I69, "Negative")</f>
        <v>1</v>
      </c>
      <c r="I4" s="1"/>
      <c r="J4" s="2" t="s">
        <v>13</v>
      </c>
      <c r="K4" s="10">
        <f>COUNTIF(J10:J69, "Medium")</f>
        <v>8</v>
      </c>
      <c r="L4" s="1"/>
      <c r="M4" s="1"/>
      <c r="N4" s="1"/>
      <c r="O4" s="1"/>
      <c r="P4" s="1"/>
      <c r="Q4" s="1"/>
      <c r="R4" s="1"/>
      <c r="S4" s="1"/>
      <c r="T4" s="1"/>
      <c r="U4" s="1"/>
      <c r="V4" s="1"/>
      <c r="W4" s="1"/>
      <c r="X4" s="1"/>
      <c r="Y4" s="1"/>
      <c r="Z4" s="1"/>
    </row>
    <row r="5">
      <c r="A5" s="6" t="s">
        <v>622</v>
      </c>
      <c r="B5" s="1"/>
      <c r="C5" s="1"/>
      <c r="D5" s="12" t="s">
        <v>14</v>
      </c>
      <c r="E5" s="36">
        <f>COUNTIF(K10:K69, "NE")</f>
        <v>0</v>
      </c>
      <c r="F5" s="9"/>
      <c r="G5" s="6" t="s">
        <v>15</v>
      </c>
      <c r="H5" s="10">
        <f>SUM(H3:H4)</f>
        <v>14</v>
      </c>
      <c r="I5" s="1"/>
      <c r="J5" s="2" t="s">
        <v>16</v>
      </c>
      <c r="K5" s="10">
        <f>COUNTIF(J10:J69, "Low")</f>
        <v>0</v>
      </c>
      <c r="L5" s="1"/>
      <c r="M5" s="1"/>
      <c r="N5" s="1"/>
      <c r="O5" s="1"/>
      <c r="P5" s="1"/>
      <c r="Q5" s="1"/>
      <c r="R5" s="1"/>
      <c r="S5" s="1"/>
      <c r="T5" s="1"/>
      <c r="U5" s="1"/>
      <c r="V5" s="1"/>
      <c r="W5" s="1"/>
      <c r="X5" s="1"/>
      <c r="Y5" s="1"/>
      <c r="Z5" s="1"/>
    </row>
    <row r="6">
      <c r="A6" s="1"/>
      <c r="B6" s="1"/>
      <c r="C6" s="1"/>
      <c r="D6" s="13" t="s">
        <v>17</v>
      </c>
      <c r="E6" s="8">
        <f>COUNTIF(K10:K69, "NA")</f>
        <v>10</v>
      </c>
      <c r="F6" s="9"/>
      <c r="G6" s="1"/>
      <c r="H6" s="1"/>
      <c r="I6" s="1"/>
      <c r="J6" s="6" t="s">
        <v>15</v>
      </c>
      <c r="K6" s="10">
        <f>SUM(K3:K5)</f>
        <v>14</v>
      </c>
      <c r="L6" s="1"/>
      <c r="M6" s="1"/>
      <c r="N6" s="1"/>
      <c r="O6" s="1"/>
      <c r="P6" s="1"/>
      <c r="Q6" s="1"/>
      <c r="R6" s="1"/>
      <c r="S6" s="1"/>
      <c r="T6" s="1"/>
      <c r="U6" s="1"/>
      <c r="V6" s="1"/>
      <c r="W6" s="1"/>
      <c r="X6" s="1"/>
      <c r="Y6" s="1"/>
      <c r="Z6" s="1"/>
    </row>
    <row r="7">
      <c r="A7" s="1"/>
      <c r="B7" s="1"/>
      <c r="C7" s="1"/>
      <c r="D7" s="6" t="s">
        <v>15</v>
      </c>
      <c r="E7" s="10">
        <f>SUM(E3:E6)</f>
        <v>14</v>
      </c>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50" t="s">
        <v>18</v>
      </c>
      <c r="B9" s="50" t="s">
        <v>176</v>
      </c>
      <c r="C9" s="50" t="s">
        <v>20</v>
      </c>
      <c r="D9" s="50" t="s">
        <v>21</v>
      </c>
      <c r="E9" s="50" t="s">
        <v>22</v>
      </c>
      <c r="F9" s="50" t="s">
        <v>23</v>
      </c>
      <c r="G9" s="50" t="s">
        <v>24</v>
      </c>
      <c r="H9" s="50" t="s">
        <v>25</v>
      </c>
      <c r="I9" s="50" t="s">
        <v>26</v>
      </c>
      <c r="J9" s="50" t="s">
        <v>27</v>
      </c>
      <c r="K9" s="50" t="s">
        <v>28</v>
      </c>
      <c r="L9" s="50" t="s">
        <v>29</v>
      </c>
      <c r="M9" s="1"/>
      <c r="N9" s="1"/>
      <c r="O9" s="1"/>
      <c r="P9" s="1"/>
      <c r="Q9" s="1"/>
      <c r="R9" s="1"/>
      <c r="S9" s="1"/>
      <c r="T9" s="1"/>
      <c r="U9" s="1"/>
      <c r="V9" s="1"/>
      <c r="W9" s="1"/>
      <c r="X9" s="1"/>
      <c r="Y9" s="1"/>
      <c r="Z9" s="1"/>
    </row>
    <row r="10">
      <c r="A10" s="65" t="s">
        <v>828</v>
      </c>
      <c r="B10" s="34" t="s">
        <v>829</v>
      </c>
      <c r="C10" s="17" t="s">
        <v>830</v>
      </c>
      <c r="D10" s="17" t="s">
        <v>831</v>
      </c>
      <c r="E10" s="18" t="s">
        <v>246</v>
      </c>
      <c r="F10" s="33" t="s">
        <v>832</v>
      </c>
      <c r="G10" s="17" t="s">
        <v>833</v>
      </c>
      <c r="H10" s="18" t="s">
        <v>203</v>
      </c>
      <c r="I10" s="18" t="s">
        <v>8</v>
      </c>
      <c r="J10" s="18" t="s">
        <v>9</v>
      </c>
      <c r="K10" s="16" t="s">
        <v>38</v>
      </c>
      <c r="L10" s="21"/>
      <c r="M10" s="1"/>
      <c r="N10" s="1"/>
      <c r="O10" s="1"/>
      <c r="P10" s="1"/>
      <c r="Q10" s="1"/>
      <c r="R10" s="1"/>
      <c r="S10" s="1"/>
      <c r="T10" s="1"/>
      <c r="U10" s="1"/>
      <c r="V10" s="1"/>
      <c r="W10" s="1"/>
      <c r="X10" s="1"/>
      <c r="Y10" s="1"/>
      <c r="Z10" s="1"/>
    </row>
    <row r="11">
      <c r="A11" s="66" t="s">
        <v>834</v>
      </c>
      <c r="B11" s="30"/>
      <c r="C11" s="17" t="s">
        <v>835</v>
      </c>
      <c r="D11" s="21"/>
      <c r="E11" s="18" t="s">
        <v>836</v>
      </c>
      <c r="F11" s="17" t="s">
        <v>837</v>
      </c>
      <c r="G11" s="17" t="s">
        <v>838</v>
      </c>
      <c r="H11" s="21"/>
      <c r="I11" s="18" t="s">
        <v>8</v>
      </c>
      <c r="J11" s="18" t="s">
        <v>9</v>
      </c>
      <c r="K11" s="16" t="s">
        <v>168</v>
      </c>
      <c r="L11" s="21"/>
      <c r="M11" s="1"/>
      <c r="N11" s="1"/>
      <c r="O11" s="1"/>
      <c r="P11" s="1"/>
      <c r="Q11" s="1"/>
      <c r="R11" s="1"/>
      <c r="S11" s="1"/>
      <c r="T11" s="1"/>
      <c r="U11" s="1"/>
      <c r="V11" s="1"/>
      <c r="W11" s="1"/>
      <c r="X11" s="1"/>
      <c r="Y11" s="1"/>
      <c r="Z11" s="1"/>
    </row>
    <row r="12">
      <c r="A12" s="66" t="s">
        <v>839</v>
      </c>
      <c r="B12" s="30"/>
      <c r="C12" s="17" t="s">
        <v>840</v>
      </c>
      <c r="D12" s="21"/>
      <c r="E12" s="18" t="s">
        <v>246</v>
      </c>
      <c r="F12" s="18" t="s">
        <v>841</v>
      </c>
      <c r="G12" s="17" t="s">
        <v>842</v>
      </c>
      <c r="H12" s="21"/>
      <c r="I12" s="18" t="s">
        <v>8</v>
      </c>
      <c r="J12" s="18" t="s">
        <v>13</v>
      </c>
      <c r="K12" s="16" t="s">
        <v>168</v>
      </c>
      <c r="L12" s="21"/>
      <c r="M12" s="1"/>
      <c r="N12" s="1"/>
      <c r="O12" s="1"/>
      <c r="P12" s="1"/>
      <c r="Q12" s="1"/>
      <c r="R12" s="1"/>
      <c r="S12" s="1"/>
      <c r="T12" s="1"/>
      <c r="U12" s="1"/>
      <c r="V12" s="1"/>
      <c r="W12" s="1"/>
      <c r="X12" s="1"/>
      <c r="Y12" s="1"/>
      <c r="Z12" s="1"/>
    </row>
    <row r="13">
      <c r="A13" s="66" t="s">
        <v>843</v>
      </c>
      <c r="B13" s="30"/>
      <c r="C13" s="17" t="s">
        <v>844</v>
      </c>
      <c r="D13" s="21"/>
      <c r="E13" s="17" t="s">
        <v>845</v>
      </c>
      <c r="F13" s="17" t="s">
        <v>846</v>
      </c>
      <c r="G13" s="17" t="s">
        <v>847</v>
      </c>
      <c r="H13" s="21"/>
      <c r="I13" s="18" t="s">
        <v>8</v>
      </c>
      <c r="J13" s="18" t="s">
        <v>13</v>
      </c>
      <c r="K13" s="16" t="s">
        <v>168</v>
      </c>
      <c r="L13" s="21"/>
      <c r="M13" s="1"/>
      <c r="N13" s="1"/>
      <c r="O13" s="1"/>
      <c r="P13" s="1"/>
      <c r="Q13" s="1"/>
      <c r="R13" s="1"/>
      <c r="S13" s="1"/>
      <c r="T13" s="1"/>
      <c r="U13" s="1"/>
      <c r="V13" s="1"/>
      <c r="W13" s="1"/>
      <c r="X13" s="1"/>
      <c r="Y13" s="1"/>
      <c r="Z13" s="1"/>
    </row>
    <row r="14">
      <c r="A14" s="66" t="s">
        <v>848</v>
      </c>
      <c r="B14" s="30"/>
      <c r="C14" s="17" t="s">
        <v>849</v>
      </c>
      <c r="D14" s="17" t="s">
        <v>831</v>
      </c>
      <c r="E14" s="18" t="s">
        <v>246</v>
      </c>
      <c r="F14" s="17" t="s">
        <v>850</v>
      </c>
      <c r="G14" s="17" t="s">
        <v>851</v>
      </c>
      <c r="H14" s="21"/>
      <c r="I14" s="18" t="s">
        <v>8</v>
      </c>
      <c r="J14" s="18" t="s">
        <v>13</v>
      </c>
      <c r="K14" s="16" t="s">
        <v>38</v>
      </c>
      <c r="L14" s="21"/>
      <c r="M14" s="1"/>
      <c r="N14" s="1"/>
      <c r="O14" s="1"/>
      <c r="P14" s="1"/>
      <c r="Q14" s="1"/>
      <c r="R14" s="1"/>
      <c r="S14" s="1"/>
      <c r="T14" s="1"/>
      <c r="U14" s="1"/>
      <c r="V14" s="1"/>
      <c r="W14" s="1"/>
      <c r="X14" s="1"/>
      <c r="Y14" s="1"/>
      <c r="Z14" s="1"/>
    </row>
    <row r="15">
      <c r="A15" s="66" t="s">
        <v>852</v>
      </c>
      <c r="B15" s="30"/>
      <c r="C15" s="17" t="s">
        <v>853</v>
      </c>
      <c r="D15" s="21"/>
      <c r="E15" s="21"/>
      <c r="F15" s="17" t="s">
        <v>854</v>
      </c>
      <c r="G15" s="17" t="s">
        <v>855</v>
      </c>
      <c r="H15" s="21"/>
      <c r="I15" s="18" t="s">
        <v>8</v>
      </c>
      <c r="J15" s="18" t="s">
        <v>13</v>
      </c>
      <c r="K15" s="16" t="s">
        <v>168</v>
      </c>
      <c r="L15" s="21"/>
      <c r="M15" s="1"/>
      <c r="N15" s="1"/>
      <c r="O15" s="1"/>
      <c r="P15" s="1"/>
      <c r="Q15" s="1"/>
      <c r="R15" s="1"/>
      <c r="S15" s="1"/>
      <c r="T15" s="1"/>
      <c r="U15" s="1"/>
      <c r="V15" s="1"/>
      <c r="W15" s="1"/>
      <c r="X15" s="1"/>
      <c r="Y15" s="1"/>
      <c r="Z15" s="1"/>
    </row>
    <row r="16">
      <c r="A16" s="66" t="s">
        <v>856</v>
      </c>
      <c r="B16" s="30"/>
      <c r="C16" s="17" t="s">
        <v>857</v>
      </c>
      <c r="D16" s="21"/>
      <c r="E16" s="17" t="s">
        <v>858</v>
      </c>
      <c r="F16" s="17" t="s">
        <v>859</v>
      </c>
      <c r="G16" s="17" t="s">
        <v>860</v>
      </c>
      <c r="H16" s="21"/>
      <c r="I16" s="18" t="s">
        <v>8</v>
      </c>
      <c r="J16" s="18" t="s">
        <v>13</v>
      </c>
      <c r="K16" s="16" t="s">
        <v>168</v>
      </c>
      <c r="L16" s="21"/>
      <c r="M16" s="1"/>
      <c r="N16" s="1"/>
      <c r="O16" s="1"/>
      <c r="P16" s="1"/>
      <c r="Q16" s="1"/>
      <c r="R16" s="1"/>
      <c r="S16" s="1"/>
      <c r="T16" s="1"/>
      <c r="U16" s="1"/>
      <c r="V16" s="1"/>
      <c r="W16" s="1"/>
      <c r="X16" s="1"/>
      <c r="Y16" s="1"/>
      <c r="Z16" s="1"/>
    </row>
    <row r="17">
      <c r="A17" s="66" t="s">
        <v>861</v>
      </c>
      <c r="B17" s="30"/>
      <c r="C17" s="17" t="s">
        <v>862</v>
      </c>
      <c r="D17" s="21"/>
      <c r="E17" s="32" t="s">
        <v>863</v>
      </c>
      <c r="F17" s="17" t="s">
        <v>864</v>
      </c>
      <c r="G17" s="17" t="s">
        <v>865</v>
      </c>
      <c r="H17" s="21"/>
      <c r="I17" s="18" t="s">
        <v>12</v>
      </c>
      <c r="J17" s="18" t="s">
        <v>9</v>
      </c>
      <c r="K17" s="16" t="s">
        <v>168</v>
      </c>
      <c r="L17" s="21"/>
      <c r="M17" s="1"/>
      <c r="N17" s="1"/>
      <c r="O17" s="1"/>
      <c r="P17" s="1"/>
      <c r="Q17" s="1"/>
      <c r="R17" s="1"/>
      <c r="S17" s="1"/>
      <c r="T17" s="1"/>
      <c r="U17" s="1"/>
      <c r="V17" s="1"/>
      <c r="W17" s="1"/>
      <c r="X17" s="1"/>
      <c r="Y17" s="1"/>
      <c r="Z17" s="1"/>
    </row>
    <row r="18">
      <c r="A18" s="66" t="s">
        <v>866</v>
      </c>
      <c r="B18" s="31"/>
      <c r="C18" s="33" t="s">
        <v>867</v>
      </c>
      <c r="D18" s="21"/>
      <c r="E18" s="67"/>
      <c r="F18" s="17" t="s">
        <v>868</v>
      </c>
      <c r="G18" s="17" t="s">
        <v>869</v>
      </c>
      <c r="H18" s="21"/>
      <c r="I18" s="18" t="s">
        <v>8</v>
      </c>
      <c r="J18" s="18" t="s">
        <v>13</v>
      </c>
      <c r="K18" s="16" t="s">
        <v>168</v>
      </c>
      <c r="L18" s="21"/>
      <c r="M18" s="1"/>
      <c r="N18" s="1"/>
      <c r="O18" s="1"/>
      <c r="P18" s="1"/>
      <c r="Q18" s="1"/>
      <c r="R18" s="1"/>
      <c r="S18" s="1"/>
      <c r="T18" s="1"/>
      <c r="U18" s="1"/>
      <c r="V18" s="1"/>
      <c r="W18" s="1"/>
      <c r="X18" s="1"/>
      <c r="Y18" s="1"/>
      <c r="Z18" s="1"/>
    </row>
    <row r="19" ht="1.5" customHeight="1">
      <c r="A19" s="1"/>
      <c r="B19" s="1"/>
      <c r="C19" s="24"/>
      <c r="D19" s="1"/>
      <c r="E19" s="1"/>
      <c r="F19" s="1"/>
      <c r="G19" s="1"/>
      <c r="H19" s="1"/>
      <c r="I19" s="21"/>
      <c r="J19" s="21"/>
      <c r="K19" s="25"/>
      <c r="L19" s="1"/>
      <c r="M19" s="1"/>
      <c r="N19" s="1"/>
      <c r="O19" s="1"/>
      <c r="P19" s="1"/>
      <c r="Q19" s="1"/>
      <c r="R19" s="1"/>
      <c r="S19" s="1"/>
      <c r="T19" s="1"/>
      <c r="U19" s="1"/>
      <c r="V19" s="1"/>
      <c r="W19" s="1"/>
      <c r="X19" s="1"/>
      <c r="Y19" s="1"/>
      <c r="Z19" s="1"/>
    </row>
    <row r="20">
      <c r="A20" s="16" t="s">
        <v>870</v>
      </c>
      <c r="B20" s="34" t="s">
        <v>871</v>
      </c>
      <c r="C20" s="17" t="s">
        <v>872</v>
      </c>
      <c r="D20" s="17" t="s">
        <v>831</v>
      </c>
      <c r="E20" s="21"/>
      <c r="F20" s="17" t="s">
        <v>873</v>
      </c>
      <c r="G20" s="17" t="s">
        <v>874</v>
      </c>
      <c r="H20" s="21"/>
      <c r="I20" s="18" t="s">
        <v>8</v>
      </c>
      <c r="J20" s="18" t="s">
        <v>9</v>
      </c>
      <c r="K20" s="16" t="s">
        <v>38</v>
      </c>
      <c r="L20" s="1"/>
      <c r="M20" s="1"/>
      <c r="N20" s="1"/>
      <c r="O20" s="1"/>
      <c r="P20" s="1"/>
      <c r="Q20" s="1"/>
      <c r="R20" s="1"/>
      <c r="S20" s="1"/>
      <c r="T20" s="1"/>
      <c r="U20" s="1"/>
      <c r="V20" s="1"/>
      <c r="W20" s="1"/>
      <c r="X20" s="1"/>
      <c r="Y20" s="1"/>
      <c r="Z20" s="1"/>
    </row>
    <row r="21">
      <c r="A21" s="16" t="s">
        <v>875</v>
      </c>
      <c r="B21" s="30"/>
      <c r="C21" s="17" t="s">
        <v>876</v>
      </c>
      <c r="D21" s="21"/>
      <c r="E21" s="21"/>
      <c r="F21" s="17" t="s">
        <v>877</v>
      </c>
      <c r="G21" s="17" t="s">
        <v>878</v>
      </c>
      <c r="H21" s="21"/>
      <c r="I21" s="18" t="s">
        <v>8</v>
      </c>
      <c r="J21" s="18" t="s">
        <v>9</v>
      </c>
      <c r="K21" s="16" t="s">
        <v>168</v>
      </c>
      <c r="L21" s="1"/>
      <c r="M21" s="1"/>
      <c r="N21" s="1"/>
      <c r="O21" s="1"/>
      <c r="P21" s="1"/>
      <c r="Q21" s="1"/>
      <c r="R21" s="1"/>
      <c r="S21" s="1"/>
      <c r="T21" s="1"/>
      <c r="U21" s="1"/>
      <c r="V21" s="1"/>
      <c r="W21" s="1"/>
      <c r="X21" s="1"/>
      <c r="Y21" s="1"/>
      <c r="Z21" s="1"/>
    </row>
    <row r="22">
      <c r="A22" s="16" t="s">
        <v>879</v>
      </c>
      <c r="B22" s="30"/>
      <c r="C22" s="17" t="s">
        <v>880</v>
      </c>
      <c r="D22" s="18"/>
      <c r="E22" s="18" t="s">
        <v>881</v>
      </c>
      <c r="F22" s="17" t="s">
        <v>882</v>
      </c>
      <c r="G22" s="17" t="s">
        <v>883</v>
      </c>
      <c r="H22" s="21"/>
      <c r="I22" s="18" t="s">
        <v>8</v>
      </c>
      <c r="J22" s="18" t="s">
        <v>9</v>
      </c>
      <c r="K22" s="16" t="s">
        <v>168</v>
      </c>
      <c r="L22" s="1"/>
      <c r="M22" s="1"/>
      <c r="N22" s="1"/>
      <c r="O22" s="1"/>
      <c r="P22" s="1"/>
      <c r="Q22" s="1"/>
      <c r="R22" s="1"/>
      <c r="S22" s="1"/>
      <c r="T22" s="1"/>
      <c r="U22" s="1"/>
      <c r="V22" s="1"/>
      <c r="W22" s="1"/>
      <c r="X22" s="1"/>
      <c r="Y22" s="1"/>
      <c r="Z22" s="1"/>
    </row>
    <row r="23">
      <c r="A23" s="16" t="s">
        <v>884</v>
      </c>
      <c r="B23" s="30"/>
      <c r="C23" s="17" t="s">
        <v>885</v>
      </c>
      <c r="D23" s="17"/>
      <c r="E23" s="17" t="s">
        <v>886</v>
      </c>
      <c r="F23" s="17" t="s">
        <v>887</v>
      </c>
      <c r="G23" s="17" t="s">
        <v>888</v>
      </c>
      <c r="H23" s="21"/>
      <c r="I23" s="18" t="s">
        <v>8</v>
      </c>
      <c r="J23" s="18" t="s">
        <v>13</v>
      </c>
      <c r="K23" s="16" t="s">
        <v>168</v>
      </c>
      <c r="L23" s="1"/>
      <c r="M23" s="1"/>
      <c r="N23" s="1"/>
      <c r="O23" s="1"/>
      <c r="P23" s="1"/>
      <c r="Q23" s="1"/>
      <c r="R23" s="1"/>
      <c r="S23" s="1"/>
      <c r="T23" s="1"/>
      <c r="U23" s="1"/>
      <c r="V23" s="1"/>
      <c r="W23" s="1"/>
      <c r="X23" s="1"/>
      <c r="Y23" s="1"/>
      <c r="Z23" s="1"/>
    </row>
    <row r="24">
      <c r="A24" s="16" t="s">
        <v>889</v>
      </c>
      <c r="B24" s="31"/>
      <c r="C24" s="17" t="s">
        <v>890</v>
      </c>
      <c r="D24" s="17" t="s">
        <v>831</v>
      </c>
      <c r="E24" s="18" t="s">
        <v>246</v>
      </c>
      <c r="F24" s="17" t="s">
        <v>891</v>
      </c>
      <c r="G24" s="17" t="s">
        <v>892</v>
      </c>
      <c r="H24" s="18" t="s">
        <v>203</v>
      </c>
      <c r="I24" s="18" t="s">
        <v>8</v>
      </c>
      <c r="J24" s="18" t="s">
        <v>13</v>
      </c>
      <c r="K24" s="16" t="s">
        <v>38</v>
      </c>
      <c r="L24" s="1"/>
      <c r="M24" s="1"/>
      <c r="N24" s="1"/>
      <c r="O24" s="1"/>
      <c r="P24" s="1"/>
      <c r="Q24" s="1"/>
      <c r="R24" s="1"/>
      <c r="S24" s="1"/>
      <c r="T24" s="1"/>
      <c r="U24" s="1"/>
      <c r="V24" s="1"/>
      <c r="W24" s="1"/>
      <c r="X24" s="1"/>
      <c r="Y24" s="1"/>
      <c r="Z24" s="1"/>
    </row>
    <row r="25">
      <c r="A25" s="1"/>
      <c r="B25" s="1"/>
      <c r="C25" s="1"/>
      <c r="D25" s="1"/>
      <c r="E25" s="1"/>
      <c r="F25" s="1"/>
      <c r="G25" s="1"/>
      <c r="H25" s="1"/>
      <c r="I25" s="21"/>
      <c r="J25" s="21"/>
      <c r="K25" s="25"/>
      <c r="L25" s="1"/>
      <c r="M25" s="1"/>
      <c r="N25" s="1"/>
      <c r="O25" s="1"/>
      <c r="P25" s="1"/>
      <c r="Q25" s="1"/>
      <c r="R25" s="1"/>
      <c r="S25" s="1"/>
      <c r="T25" s="1"/>
      <c r="U25" s="1"/>
      <c r="V25" s="1"/>
      <c r="W25" s="1"/>
      <c r="X25" s="1"/>
      <c r="Y25" s="1"/>
      <c r="Z25" s="1"/>
    </row>
    <row r="26">
      <c r="A26" s="1"/>
      <c r="B26" s="1"/>
      <c r="C26" s="1"/>
      <c r="D26" s="1"/>
      <c r="E26" s="1"/>
      <c r="F26" s="1"/>
      <c r="G26" s="1"/>
      <c r="H26" s="1"/>
      <c r="I26" s="21"/>
      <c r="J26" s="21"/>
      <c r="K26" s="25"/>
      <c r="L26" s="1"/>
      <c r="M26" s="1"/>
      <c r="N26" s="1"/>
      <c r="O26" s="1"/>
      <c r="P26" s="1"/>
      <c r="Q26" s="1"/>
      <c r="R26" s="1"/>
      <c r="S26" s="1"/>
      <c r="T26" s="1"/>
      <c r="U26" s="1"/>
      <c r="V26" s="1"/>
      <c r="W26" s="1"/>
      <c r="X26" s="1"/>
      <c r="Y26" s="1"/>
      <c r="Z26" s="1"/>
    </row>
    <row r="27">
      <c r="A27" s="1"/>
      <c r="B27" s="1"/>
      <c r="C27" s="1"/>
      <c r="D27" s="1"/>
      <c r="E27" s="1"/>
      <c r="F27" s="1"/>
      <c r="G27" s="1"/>
      <c r="H27" s="1"/>
      <c r="I27" s="21"/>
      <c r="J27" s="21"/>
      <c r="K27" s="25"/>
      <c r="L27" s="1"/>
      <c r="M27" s="1"/>
      <c r="N27" s="1"/>
      <c r="O27" s="1"/>
      <c r="P27" s="1"/>
      <c r="Q27" s="1"/>
      <c r="R27" s="1"/>
      <c r="S27" s="1"/>
      <c r="T27" s="1"/>
      <c r="U27" s="1"/>
      <c r="V27" s="1"/>
      <c r="W27" s="1"/>
      <c r="X27" s="1"/>
      <c r="Y27" s="1"/>
      <c r="Z27" s="1"/>
    </row>
    <row r="28">
      <c r="A28" s="1"/>
      <c r="B28" s="1"/>
      <c r="C28" s="1"/>
      <c r="D28" s="1"/>
      <c r="E28" s="1"/>
      <c r="F28" s="1"/>
      <c r="G28" s="1"/>
      <c r="H28" s="1"/>
      <c r="I28" s="21"/>
      <c r="J28" s="21"/>
      <c r="K28" s="25"/>
      <c r="L28" s="1"/>
      <c r="M28" s="1"/>
      <c r="N28" s="1"/>
      <c r="O28" s="1"/>
      <c r="P28" s="1"/>
      <c r="Q28" s="1"/>
      <c r="R28" s="1"/>
      <c r="S28" s="1"/>
      <c r="T28" s="1"/>
      <c r="U28" s="1"/>
      <c r="V28" s="1"/>
      <c r="W28" s="1"/>
      <c r="X28" s="1"/>
      <c r="Y28" s="1"/>
      <c r="Z28" s="1"/>
    </row>
    <row r="29">
      <c r="A29" s="1"/>
      <c r="B29" s="1"/>
      <c r="C29" s="1"/>
      <c r="D29" s="1"/>
      <c r="E29" s="1"/>
      <c r="F29" s="1"/>
      <c r="G29" s="1"/>
      <c r="H29" s="1"/>
      <c r="I29" s="21"/>
      <c r="J29" s="21"/>
      <c r="K29" s="25"/>
      <c r="L29" s="1"/>
      <c r="M29" s="1"/>
      <c r="N29" s="1"/>
      <c r="O29" s="1"/>
      <c r="P29" s="1"/>
      <c r="Q29" s="1"/>
      <c r="R29" s="1"/>
      <c r="S29" s="1"/>
      <c r="T29" s="1"/>
      <c r="U29" s="1"/>
      <c r="V29" s="1"/>
      <c r="W29" s="1"/>
      <c r="X29" s="1"/>
      <c r="Y29" s="1"/>
      <c r="Z29" s="1"/>
    </row>
    <row r="30">
      <c r="A30" s="1"/>
      <c r="B30" s="1"/>
      <c r="C30" s="1"/>
      <c r="D30" s="1"/>
      <c r="E30" s="1"/>
      <c r="F30" s="1"/>
      <c r="G30" s="1"/>
      <c r="H30" s="1"/>
      <c r="I30" s="18"/>
      <c r="J30" s="21"/>
      <c r="K30" s="25"/>
      <c r="L30" s="1"/>
      <c r="M30" s="1"/>
      <c r="N30" s="1"/>
      <c r="O30" s="1"/>
      <c r="P30" s="1"/>
      <c r="Q30" s="1"/>
      <c r="R30" s="1"/>
      <c r="S30" s="1"/>
      <c r="T30" s="1"/>
      <c r="U30" s="1"/>
      <c r="V30" s="1"/>
      <c r="W30" s="1"/>
      <c r="X30" s="1"/>
      <c r="Y30" s="1"/>
      <c r="Z30" s="1"/>
    </row>
    <row r="31">
      <c r="A31" s="1"/>
      <c r="B31" s="1"/>
      <c r="C31" s="1"/>
      <c r="D31" s="1"/>
      <c r="E31" s="1"/>
      <c r="F31" s="1"/>
      <c r="G31" s="1"/>
      <c r="H31" s="1"/>
      <c r="I31" s="21"/>
      <c r="J31" s="21"/>
      <c r="K31" s="25"/>
      <c r="L31" s="1"/>
      <c r="M31" s="1"/>
      <c r="N31" s="1"/>
      <c r="O31" s="1"/>
      <c r="P31" s="1"/>
      <c r="Q31" s="1"/>
      <c r="R31" s="1"/>
      <c r="S31" s="1"/>
      <c r="T31" s="1"/>
      <c r="U31" s="1"/>
      <c r="V31" s="1"/>
      <c r="W31" s="1"/>
      <c r="X31" s="1"/>
      <c r="Y31" s="1"/>
      <c r="Z31" s="1"/>
    </row>
    <row r="32">
      <c r="A32" s="1"/>
      <c r="B32" s="1"/>
      <c r="C32" s="1"/>
      <c r="D32" s="1"/>
      <c r="E32" s="1"/>
      <c r="F32" s="1"/>
      <c r="G32" s="1"/>
      <c r="H32" s="1"/>
      <c r="I32" s="21"/>
      <c r="J32" s="21"/>
      <c r="K32" s="25"/>
      <c r="L32" s="1"/>
      <c r="M32" s="1"/>
      <c r="N32" s="1"/>
      <c r="O32" s="1"/>
      <c r="P32" s="1"/>
      <c r="Q32" s="1"/>
      <c r="R32" s="1"/>
      <c r="S32" s="1"/>
      <c r="T32" s="1"/>
      <c r="U32" s="1"/>
      <c r="V32" s="1"/>
      <c r="W32" s="1"/>
      <c r="X32" s="1"/>
      <c r="Y32" s="1"/>
      <c r="Z32" s="1"/>
    </row>
    <row r="33">
      <c r="A33" s="1"/>
      <c r="B33" s="1"/>
      <c r="C33" s="1"/>
      <c r="D33" s="1"/>
      <c r="E33" s="1"/>
      <c r="F33" s="1"/>
      <c r="G33" s="1"/>
      <c r="H33" s="1"/>
      <c r="I33" s="21"/>
      <c r="J33" s="21"/>
      <c r="K33" s="25"/>
      <c r="L33" s="1"/>
      <c r="M33" s="1"/>
      <c r="N33" s="1"/>
      <c r="O33" s="1"/>
      <c r="P33" s="1"/>
      <c r="Q33" s="1"/>
      <c r="R33" s="1"/>
      <c r="S33" s="1"/>
      <c r="T33" s="1"/>
      <c r="U33" s="1"/>
      <c r="V33" s="1"/>
      <c r="W33" s="1"/>
      <c r="X33" s="1"/>
      <c r="Y33" s="1"/>
      <c r="Z33" s="1"/>
    </row>
    <row r="34">
      <c r="A34" s="1"/>
      <c r="B34" s="1"/>
      <c r="C34" s="1"/>
      <c r="D34" s="1"/>
      <c r="E34" s="1"/>
      <c r="F34" s="1"/>
      <c r="G34" s="1"/>
      <c r="H34" s="1"/>
      <c r="I34" s="21"/>
      <c r="J34" s="21"/>
      <c r="K34" s="25"/>
      <c r="L34" s="1"/>
      <c r="M34" s="1"/>
      <c r="N34" s="1"/>
      <c r="O34" s="1"/>
      <c r="P34" s="1"/>
      <c r="Q34" s="1"/>
      <c r="R34" s="1"/>
      <c r="S34" s="1"/>
      <c r="T34" s="1"/>
      <c r="U34" s="1"/>
      <c r="V34" s="1"/>
      <c r="W34" s="1"/>
      <c r="X34" s="1"/>
      <c r="Y34" s="1"/>
      <c r="Z34" s="1"/>
    </row>
    <row r="35">
      <c r="A35" s="1"/>
      <c r="B35" s="1"/>
      <c r="C35" s="1"/>
      <c r="D35" s="1"/>
      <c r="E35" s="1"/>
      <c r="F35" s="1"/>
      <c r="G35" s="1"/>
      <c r="H35" s="1"/>
      <c r="I35" s="21"/>
      <c r="J35" s="21"/>
      <c r="K35" s="25"/>
      <c r="L35" s="1"/>
      <c r="M35" s="1"/>
      <c r="N35" s="1"/>
      <c r="O35" s="1"/>
      <c r="P35" s="1"/>
      <c r="Q35" s="1"/>
      <c r="R35" s="1"/>
      <c r="S35" s="1"/>
      <c r="T35" s="1"/>
      <c r="U35" s="1"/>
      <c r="V35" s="1"/>
      <c r="W35" s="1"/>
      <c r="X35" s="1"/>
      <c r="Y35" s="1"/>
      <c r="Z35" s="1"/>
    </row>
    <row r="36">
      <c r="A36" s="1"/>
      <c r="B36" s="1"/>
      <c r="C36" s="1"/>
      <c r="D36" s="1"/>
      <c r="E36" s="1"/>
      <c r="F36" s="1"/>
      <c r="G36" s="1"/>
      <c r="H36" s="1"/>
      <c r="I36" s="21"/>
      <c r="J36" s="21"/>
      <c r="K36" s="25"/>
      <c r="L36" s="1"/>
      <c r="M36" s="1"/>
      <c r="N36" s="1"/>
      <c r="O36" s="1"/>
      <c r="P36" s="1"/>
      <c r="Q36" s="1"/>
      <c r="R36" s="1"/>
      <c r="S36" s="1"/>
      <c r="T36" s="1"/>
      <c r="U36" s="1"/>
      <c r="V36" s="1"/>
      <c r="W36" s="1"/>
      <c r="X36" s="1"/>
      <c r="Y36" s="1"/>
      <c r="Z36" s="1"/>
    </row>
    <row r="37">
      <c r="A37" s="1"/>
      <c r="B37" s="1"/>
      <c r="C37" s="1"/>
      <c r="D37" s="1"/>
      <c r="E37" s="1"/>
      <c r="F37" s="1"/>
      <c r="G37" s="1"/>
      <c r="H37" s="1"/>
      <c r="I37" s="21"/>
      <c r="J37" s="21"/>
      <c r="K37" s="25"/>
      <c r="L37" s="1"/>
      <c r="M37" s="1"/>
      <c r="N37" s="1"/>
      <c r="O37" s="1"/>
      <c r="P37" s="1"/>
      <c r="Q37" s="1"/>
      <c r="R37" s="1"/>
      <c r="S37" s="1"/>
      <c r="T37" s="1"/>
      <c r="U37" s="1"/>
      <c r="V37" s="1"/>
      <c r="W37" s="1"/>
      <c r="X37" s="1"/>
      <c r="Y37" s="1"/>
      <c r="Z37" s="1"/>
    </row>
    <row r="38">
      <c r="A38" s="1"/>
      <c r="B38" s="1"/>
      <c r="C38" s="1"/>
      <c r="D38" s="1"/>
      <c r="E38" s="1"/>
      <c r="F38" s="1"/>
      <c r="G38" s="1"/>
      <c r="H38" s="1"/>
      <c r="I38" s="21"/>
      <c r="J38" s="21"/>
      <c r="K38" s="25"/>
      <c r="L38" s="1"/>
      <c r="M38" s="1"/>
      <c r="N38" s="1"/>
      <c r="O38" s="1"/>
      <c r="P38" s="1"/>
      <c r="Q38" s="1"/>
      <c r="R38" s="1"/>
      <c r="S38" s="1"/>
      <c r="T38" s="1"/>
      <c r="U38" s="1"/>
      <c r="V38" s="1"/>
      <c r="W38" s="1"/>
      <c r="X38" s="1"/>
      <c r="Y38" s="1"/>
      <c r="Z38" s="1"/>
    </row>
    <row r="39">
      <c r="A39" s="1"/>
      <c r="B39" s="1"/>
      <c r="C39" s="1"/>
      <c r="D39" s="1"/>
      <c r="E39" s="1"/>
      <c r="F39" s="1"/>
      <c r="G39" s="1"/>
      <c r="H39" s="1"/>
      <c r="I39" s="21"/>
      <c r="J39" s="21"/>
      <c r="K39" s="25"/>
      <c r="L39" s="1"/>
      <c r="M39" s="1"/>
      <c r="N39" s="1"/>
      <c r="O39" s="1"/>
      <c r="P39" s="1"/>
      <c r="Q39" s="1"/>
      <c r="R39" s="1"/>
      <c r="S39" s="1"/>
      <c r="T39" s="1"/>
      <c r="U39" s="1"/>
      <c r="V39" s="1"/>
      <c r="W39" s="1"/>
      <c r="X39" s="1"/>
      <c r="Y39" s="1"/>
      <c r="Z39" s="1"/>
    </row>
    <row r="40">
      <c r="A40" s="1"/>
      <c r="B40" s="1"/>
      <c r="C40" s="1"/>
      <c r="D40" s="1"/>
      <c r="E40" s="1"/>
      <c r="F40" s="1"/>
      <c r="G40" s="1"/>
      <c r="H40" s="1"/>
      <c r="I40" s="21"/>
      <c r="J40" s="21"/>
      <c r="K40" s="25"/>
      <c r="L40" s="1"/>
      <c r="M40" s="1"/>
      <c r="N40" s="1"/>
      <c r="O40" s="1"/>
      <c r="P40" s="1"/>
      <c r="Q40" s="1"/>
      <c r="R40" s="1"/>
      <c r="S40" s="1"/>
      <c r="T40" s="1"/>
      <c r="U40" s="1"/>
      <c r="V40" s="1"/>
      <c r="W40" s="1"/>
      <c r="X40" s="1"/>
      <c r="Y40" s="1"/>
      <c r="Z40" s="1"/>
    </row>
    <row r="41">
      <c r="A41" s="1"/>
      <c r="B41" s="1"/>
      <c r="C41" s="1"/>
      <c r="D41" s="1"/>
      <c r="E41" s="1"/>
      <c r="F41" s="1"/>
      <c r="G41" s="1"/>
      <c r="H41" s="1"/>
      <c r="I41" s="21"/>
      <c r="J41" s="21"/>
      <c r="K41" s="25"/>
      <c r="L41" s="1"/>
      <c r="M41" s="1"/>
      <c r="N41" s="1"/>
      <c r="O41" s="1"/>
      <c r="P41" s="1"/>
      <c r="Q41" s="1"/>
      <c r="R41" s="1"/>
      <c r="S41" s="1"/>
      <c r="T41" s="1"/>
      <c r="U41" s="1"/>
      <c r="V41" s="1"/>
      <c r="W41" s="1"/>
      <c r="X41" s="1"/>
      <c r="Y41" s="1"/>
      <c r="Z41" s="1"/>
    </row>
    <row r="42">
      <c r="A42" s="1"/>
      <c r="B42" s="1"/>
      <c r="C42" s="1"/>
      <c r="D42" s="1"/>
      <c r="E42" s="1"/>
      <c r="F42" s="1"/>
      <c r="G42" s="1"/>
      <c r="H42" s="1"/>
      <c r="I42" s="21"/>
      <c r="J42" s="21"/>
      <c r="K42" s="25"/>
      <c r="L42" s="1"/>
      <c r="M42" s="1"/>
      <c r="N42" s="1"/>
      <c r="O42" s="1"/>
      <c r="P42" s="1"/>
      <c r="Q42" s="1"/>
      <c r="R42" s="1"/>
      <c r="S42" s="1"/>
      <c r="T42" s="1"/>
      <c r="U42" s="1"/>
      <c r="V42" s="1"/>
      <c r="W42" s="1"/>
      <c r="X42" s="1"/>
      <c r="Y42" s="1"/>
      <c r="Z42" s="1"/>
    </row>
    <row r="43">
      <c r="A43" s="1"/>
      <c r="B43" s="1"/>
      <c r="C43" s="1"/>
      <c r="D43" s="1"/>
      <c r="E43" s="1"/>
      <c r="F43" s="1"/>
      <c r="G43" s="1"/>
      <c r="H43" s="1"/>
      <c r="I43" s="21"/>
      <c r="J43" s="21"/>
      <c r="K43" s="25"/>
      <c r="L43" s="1"/>
      <c r="M43" s="1"/>
      <c r="N43" s="1"/>
      <c r="O43" s="1"/>
      <c r="P43" s="1"/>
      <c r="Q43" s="1"/>
      <c r="R43" s="1"/>
      <c r="S43" s="1"/>
      <c r="T43" s="1"/>
      <c r="U43" s="1"/>
      <c r="V43" s="1"/>
      <c r="W43" s="1"/>
      <c r="X43" s="1"/>
      <c r="Y43" s="1"/>
      <c r="Z43" s="1"/>
    </row>
    <row r="44">
      <c r="A44" s="1"/>
      <c r="B44" s="1"/>
      <c r="C44" s="1"/>
      <c r="D44" s="1"/>
      <c r="E44" s="1"/>
      <c r="F44" s="1"/>
      <c r="G44" s="1"/>
      <c r="H44" s="1"/>
      <c r="I44" s="21"/>
      <c r="J44" s="21"/>
      <c r="K44" s="25"/>
      <c r="L44" s="1"/>
      <c r="M44" s="1"/>
      <c r="N44" s="1"/>
      <c r="O44" s="1"/>
      <c r="P44" s="1"/>
      <c r="Q44" s="1"/>
      <c r="R44" s="1"/>
      <c r="S44" s="1"/>
      <c r="T44" s="1"/>
      <c r="U44" s="1"/>
      <c r="V44" s="1"/>
      <c r="W44" s="1"/>
      <c r="X44" s="1"/>
      <c r="Y44" s="1"/>
      <c r="Z44" s="1"/>
    </row>
    <row r="45">
      <c r="A45" s="1"/>
      <c r="B45" s="1"/>
      <c r="C45" s="1"/>
      <c r="D45" s="1"/>
      <c r="E45" s="1"/>
      <c r="F45" s="1"/>
      <c r="G45" s="1"/>
      <c r="H45" s="1"/>
      <c r="I45" s="21"/>
      <c r="J45" s="21"/>
      <c r="K45" s="25"/>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G2:H2"/>
    <mergeCell ref="J2:K2"/>
    <mergeCell ref="B10:B18"/>
    <mergeCell ref="B20:B24"/>
  </mergeCells>
  <conditionalFormatting sqref="K10:K45">
    <cfRule type="cellIs" dxfId="2" priority="1" operator="equal">
      <formula>"NE"</formula>
    </cfRule>
  </conditionalFormatting>
  <conditionalFormatting sqref="K10:K45">
    <cfRule type="cellIs" dxfId="3" priority="2" operator="equal">
      <formula>"NA"</formula>
    </cfRule>
  </conditionalFormatting>
  <conditionalFormatting sqref="K10:K45">
    <cfRule type="cellIs" dxfId="0" priority="3" operator="equal">
      <formula>"P"</formula>
    </cfRule>
  </conditionalFormatting>
  <conditionalFormatting sqref="K9:K45">
    <cfRule type="cellIs" dxfId="1" priority="4" operator="equal">
      <formula>"F"</formula>
    </cfRule>
  </conditionalFormatting>
  <dataValidations>
    <dataValidation type="list" allowBlank="1" showErrorMessage="1" sqref="I10:I45">
      <formula1>"Negative,Positive"</formula1>
    </dataValidation>
    <dataValidation type="list" allowBlank="1" showErrorMessage="1" sqref="J10:J45">
      <formula1>"High,Medium,Low"</formula1>
    </dataValidation>
    <dataValidation type="list" allowBlank="1" showErrorMessage="1" sqref="K10:K45">
      <formula1>"P,F,NE,NA"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23.13"/>
    <col customWidth="1" min="3" max="3" width="17.75"/>
    <col customWidth="1" min="4" max="4" width="17.5"/>
    <col customWidth="1" min="5" max="5" width="18.0"/>
    <col customWidth="1" min="6" max="6" width="19.25"/>
    <col customWidth="1" min="7" max="7" width="17.0"/>
    <col customWidth="1" min="8" max="8" width="16.88"/>
  </cols>
  <sheetData>
    <row r="1" ht="1.5" customHeight="1">
      <c r="A1" s="67"/>
      <c r="B1" s="67"/>
      <c r="C1" s="67"/>
      <c r="D1" s="67"/>
      <c r="E1" s="67"/>
      <c r="F1" s="67"/>
      <c r="G1" s="67"/>
      <c r="H1" s="67"/>
      <c r="I1" s="67"/>
      <c r="J1" s="67"/>
      <c r="K1" s="67"/>
      <c r="L1" s="67"/>
      <c r="M1" s="67"/>
      <c r="N1" s="67"/>
      <c r="O1" s="67"/>
      <c r="P1" s="67"/>
      <c r="Q1" s="67"/>
      <c r="R1" s="67"/>
      <c r="S1" s="67"/>
      <c r="T1" s="67"/>
      <c r="U1" s="67"/>
      <c r="V1" s="67"/>
      <c r="W1" s="67"/>
      <c r="X1" s="67"/>
      <c r="Y1" s="67"/>
      <c r="Z1" s="67"/>
    </row>
    <row r="2">
      <c r="A2" s="18" t="s">
        <v>893</v>
      </c>
      <c r="B2" s="21"/>
      <c r="C2" s="21"/>
      <c r="D2" s="68" t="s">
        <v>1</v>
      </c>
      <c r="E2" s="68" t="s">
        <v>2</v>
      </c>
      <c r="F2" s="68"/>
      <c r="G2" s="69" t="s">
        <v>3</v>
      </c>
      <c r="H2" s="5"/>
      <c r="I2" s="21"/>
      <c r="J2" s="69" t="s">
        <v>4</v>
      </c>
      <c r="K2" s="5"/>
      <c r="L2" s="67"/>
      <c r="M2" s="67"/>
      <c r="N2" s="67"/>
      <c r="O2" s="67"/>
      <c r="P2" s="67"/>
      <c r="Q2" s="67"/>
      <c r="R2" s="67"/>
      <c r="S2" s="67"/>
      <c r="T2" s="67"/>
      <c r="U2" s="67"/>
      <c r="V2" s="67"/>
      <c r="W2" s="67"/>
      <c r="X2" s="67"/>
      <c r="Y2" s="67"/>
      <c r="Z2" s="67"/>
    </row>
    <row r="3">
      <c r="A3" s="16" t="s">
        <v>5</v>
      </c>
      <c r="B3" s="18" t="s">
        <v>6</v>
      </c>
      <c r="C3" s="18"/>
      <c r="D3" s="70" t="s">
        <v>7</v>
      </c>
      <c r="E3" s="71">
        <f>COUNTIF(K10:K59, "P")</f>
        <v>7</v>
      </c>
      <c r="F3" s="72"/>
      <c r="G3" s="18" t="s">
        <v>8</v>
      </c>
      <c r="H3" s="25">
        <f>COUNTIF(I10:I59, "Positive")</f>
        <v>23</v>
      </c>
      <c r="I3" s="21"/>
      <c r="J3" s="18" t="s">
        <v>9</v>
      </c>
      <c r="K3" s="25">
        <f>COUNTIF(J10:J59, "High")</f>
        <v>27</v>
      </c>
      <c r="L3" s="67"/>
      <c r="M3" s="67"/>
      <c r="N3" s="67"/>
      <c r="O3" s="67"/>
      <c r="P3" s="67"/>
      <c r="Q3" s="67"/>
      <c r="R3" s="67"/>
      <c r="S3" s="67"/>
      <c r="T3" s="67"/>
      <c r="U3" s="67"/>
      <c r="V3" s="67"/>
      <c r="W3" s="67"/>
      <c r="X3" s="67"/>
      <c r="Y3" s="67"/>
      <c r="Z3" s="67"/>
    </row>
    <row r="4">
      <c r="A4" s="16" t="s">
        <v>10</v>
      </c>
      <c r="B4" s="21"/>
      <c r="C4" s="21"/>
      <c r="D4" s="73" t="s">
        <v>11</v>
      </c>
      <c r="E4" s="71">
        <f>COUNTIF(K10:K59, "F")</f>
        <v>2</v>
      </c>
      <c r="F4" s="72"/>
      <c r="G4" s="18" t="s">
        <v>12</v>
      </c>
      <c r="H4" s="25">
        <f>COUNTIF(I10:I59, "Negative")</f>
        <v>9</v>
      </c>
      <c r="I4" s="21"/>
      <c r="J4" s="18" t="s">
        <v>13</v>
      </c>
      <c r="K4" s="25">
        <f>COUNTIF(J10:J59, "Medium")</f>
        <v>5</v>
      </c>
      <c r="L4" s="67"/>
      <c r="M4" s="67"/>
      <c r="N4" s="67"/>
      <c r="O4" s="67"/>
      <c r="P4" s="67"/>
      <c r="Q4" s="67"/>
      <c r="R4" s="67"/>
      <c r="S4" s="67"/>
      <c r="T4" s="67"/>
      <c r="U4" s="67"/>
      <c r="V4" s="67"/>
      <c r="W4" s="67"/>
      <c r="X4" s="67"/>
      <c r="Y4" s="67"/>
      <c r="Z4" s="67"/>
    </row>
    <row r="5">
      <c r="A5" s="16" t="s">
        <v>622</v>
      </c>
      <c r="B5" s="21"/>
      <c r="C5" s="21"/>
      <c r="D5" s="74" t="s">
        <v>14</v>
      </c>
      <c r="E5" s="71">
        <f>COUNTIF(K10:K59, "NE")</f>
        <v>0</v>
      </c>
      <c r="F5" s="72"/>
      <c r="G5" s="16" t="s">
        <v>15</v>
      </c>
      <c r="H5" s="25">
        <f>SUM(H3:H4)</f>
        <v>32</v>
      </c>
      <c r="I5" s="21"/>
      <c r="J5" s="18" t="s">
        <v>16</v>
      </c>
      <c r="K5" s="25">
        <f>COUNTIF(J10:J59, "Low")</f>
        <v>0</v>
      </c>
      <c r="L5" s="67"/>
      <c r="M5" s="67"/>
      <c r="N5" s="67"/>
      <c r="O5" s="67"/>
      <c r="P5" s="67"/>
      <c r="Q5" s="67"/>
      <c r="R5" s="67"/>
      <c r="S5" s="67"/>
      <c r="T5" s="67"/>
      <c r="U5" s="67"/>
      <c r="V5" s="67"/>
      <c r="W5" s="67"/>
      <c r="X5" s="67"/>
      <c r="Y5" s="67"/>
      <c r="Z5" s="67"/>
    </row>
    <row r="6">
      <c r="A6" s="21"/>
      <c r="B6" s="21"/>
      <c r="C6" s="21"/>
      <c r="D6" s="75" t="s">
        <v>17</v>
      </c>
      <c r="E6" s="76">
        <f>COUNTIF(K10:K59, "NA")</f>
        <v>23</v>
      </c>
      <c r="F6" s="72"/>
      <c r="G6" s="21"/>
      <c r="H6" s="21"/>
      <c r="I6" s="21"/>
      <c r="J6" s="16" t="s">
        <v>15</v>
      </c>
      <c r="K6" s="25">
        <f>SUM(K3:K5)</f>
        <v>32</v>
      </c>
      <c r="L6" s="67"/>
      <c r="M6" s="67"/>
      <c r="N6" s="67"/>
      <c r="O6" s="67"/>
      <c r="P6" s="67"/>
      <c r="Q6" s="67"/>
      <c r="R6" s="67"/>
      <c r="S6" s="67"/>
      <c r="T6" s="67"/>
      <c r="U6" s="67"/>
      <c r="V6" s="67"/>
      <c r="W6" s="67"/>
      <c r="X6" s="67"/>
      <c r="Y6" s="67"/>
      <c r="Z6" s="67"/>
    </row>
    <row r="7">
      <c r="A7" s="21"/>
      <c r="B7" s="21"/>
      <c r="C7" s="21"/>
      <c r="D7" s="16" t="s">
        <v>15</v>
      </c>
      <c r="E7" s="25">
        <f>SUM(E3:E6)</f>
        <v>32</v>
      </c>
      <c r="F7" s="21"/>
      <c r="G7" s="21"/>
      <c r="H7" s="21"/>
      <c r="I7" s="21"/>
      <c r="J7" s="21"/>
      <c r="K7" s="21"/>
      <c r="L7" s="67"/>
      <c r="M7" s="67"/>
      <c r="N7" s="67"/>
      <c r="O7" s="67"/>
      <c r="P7" s="67"/>
      <c r="Q7" s="67"/>
      <c r="R7" s="67"/>
      <c r="S7" s="67"/>
      <c r="T7" s="67"/>
      <c r="U7" s="67"/>
      <c r="V7" s="67"/>
      <c r="W7" s="67"/>
      <c r="X7" s="67"/>
      <c r="Y7" s="67"/>
      <c r="Z7" s="67"/>
    </row>
    <row r="8">
      <c r="A8" s="67"/>
      <c r="B8" s="67"/>
      <c r="C8" s="67"/>
      <c r="D8" s="67"/>
      <c r="E8" s="67"/>
      <c r="F8" s="67"/>
      <c r="G8" s="67"/>
      <c r="H8" s="67"/>
      <c r="I8" s="67"/>
      <c r="J8" s="67"/>
      <c r="K8" s="67"/>
      <c r="L8" s="67"/>
      <c r="M8" s="67"/>
      <c r="N8" s="67"/>
      <c r="O8" s="67"/>
      <c r="P8" s="67"/>
      <c r="Q8" s="67"/>
      <c r="R8" s="67"/>
      <c r="S8" s="67"/>
      <c r="T8" s="67"/>
      <c r="U8" s="67"/>
      <c r="V8" s="67"/>
      <c r="W8" s="67"/>
      <c r="X8" s="67"/>
      <c r="Y8" s="67"/>
      <c r="Z8" s="67"/>
    </row>
    <row r="9">
      <c r="A9" s="50" t="s">
        <v>18</v>
      </c>
      <c r="B9" s="50" t="s">
        <v>176</v>
      </c>
      <c r="C9" s="50" t="s">
        <v>20</v>
      </c>
      <c r="D9" s="50" t="s">
        <v>21</v>
      </c>
      <c r="E9" s="50" t="s">
        <v>22</v>
      </c>
      <c r="F9" s="50" t="s">
        <v>23</v>
      </c>
      <c r="G9" s="50" t="s">
        <v>24</v>
      </c>
      <c r="H9" s="50" t="s">
        <v>25</v>
      </c>
      <c r="I9" s="50" t="s">
        <v>26</v>
      </c>
      <c r="J9" s="50" t="s">
        <v>27</v>
      </c>
      <c r="K9" s="50" t="s">
        <v>28</v>
      </c>
      <c r="L9" s="50" t="s">
        <v>29</v>
      </c>
      <c r="M9" s="67"/>
      <c r="N9" s="67"/>
      <c r="O9" s="67"/>
      <c r="P9" s="67"/>
      <c r="Q9" s="67"/>
      <c r="R9" s="67"/>
      <c r="S9" s="67"/>
      <c r="T9" s="67"/>
      <c r="U9" s="67"/>
      <c r="V9" s="67"/>
      <c r="W9" s="67"/>
      <c r="X9" s="67"/>
      <c r="Y9" s="67"/>
      <c r="Z9" s="67"/>
    </row>
    <row r="10">
      <c r="A10" s="16" t="s">
        <v>894</v>
      </c>
      <c r="B10" s="34" t="s">
        <v>895</v>
      </c>
      <c r="C10" s="17" t="s">
        <v>896</v>
      </c>
      <c r="D10" s="77" t="s">
        <v>897</v>
      </c>
      <c r="E10" s="49" t="s">
        <v>246</v>
      </c>
      <c r="F10" s="77" t="s">
        <v>898</v>
      </c>
      <c r="G10" s="77" t="s">
        <v>899</v>
      </c>
      <c r="H10" s="49" t="s">
        <v>203</v>
      </c>
      <c r="I10" s="49" t="s">
        <v>8</v>
      </c>
      <c r="J10" s="49" t="s">
        <v>9</v>
      </c>
      <c r="K10" s="78" t="s">
        <v>38</v>
      </c>
      <c r="L10" s="21"/>
      <c r="M10" s="67"/>
      <c r="N10" s="67"/>
      <c r="O10" s="67"/>
      <c r="P10" s="67"/>
      <c r="Q10" s="67"/>
      <c r="R10" s="67"/>
      <c r="S10" s="67"/>
      <c r="T10" s="67"/>
      <c r="U10" s="67"/>
      <c r="V10" s="67"/>
      <c r="W10" s="67"/>
      <c r="X10" s="67"/>
      <c r="Y10" s="67"/>
      <c r="Z10" s="67"/>
    </row>
    <row r="11" ht="58.5" customHeight="1">
      <c r="A11" s="16" t="s">
        <v>900</v>
      </c>
      <c r="B11" s="31"/>
      <c r="C11" s="77" t="s">
        <v>901</v>
      </c>
      <c r="D11" s="77" t="s">
        <v>897</v>
      </c>
      <c r="E11" s="49" t="s">
        <v>246</v>
      </c>
      <c r="F11" s="49" t="s">
        <v>902</v>
      </c>
      <c r="G11" s="77" t="s">
        <v>903</v>
      </c>
      <c r="H11" s="49" t="s">
        <v>203</v>
      </c>
      <c r="I11" s="49" t="s">
        <v>8</v>
      </c>
      <c r="J11" s="49" t="s">
        <v>9</v>
      </c>
      <c r="K11" s="78" t="s">
        <v>38</v>
      </c>
      <c r="L11" s="21"/>
      <c r="M11" s="67"/>
      <c r="N11" s="67"/>
      <c r="O11" s="67"/>
      <c r="P11" s="67"/>
      <c r="Q11" s="67"/>
      <c r="R11" s="67"/>
      <c r="S11" s="67"/>
      <c r="T11" s="67"/>
      <c r="U11" s="67"/>
      <c r="V11" s="67"/>
      <c r="W11" s="67"/>
      <c r="X11" s="67"/>
      <c r="Y11" s="67"/>
      <c r="Z11" s="67"/>
    </row>
    <row r="12">
      <c r="A12" s="16" t="s">
        <v>904</v>
      </c>
      <c r="B12" s="34" t="s">
        <v>905</v>
      </c>
      <c r="C12" s="17" t="s">
        <v>906</v>
      </c>
      <c r="D12" s="77" t="s">
        <v>907</v>
      </c>
      <c r="E12" s="49" t="s">
        <v>246</v>
      </c>
      <c r="F12" s="77" t="s">
        <v>908</v>
      </c>
      <c r="G12" s="77" t="s">
        <v>909</v>
      </c>
      <c r="H12" s="49" t="s">
        <v>203</v>
      </c>
      <c r="I12" s="49" t="s">
        <v>8</v>
      </c>
      <c r="J12" s="49" t="s">
        <v>9</v>
      </c>
      <c r="K12" s="78" t="s">
        <v>38</v>
      </c>
      <c r="L12" s="21"/>
      <c r="M12" s="67"/>
      <c r="N12" s="67"/>
      <c r="O12" s="67"/>
      <c r="P12" s="67"/>
      <c r="Q12" s="67"/>
      <c r="R12" s="67"/>
      <c r="S12" s="67"/>
      <c r="T12" s="67"/>
      <c r="U12" s="67"/>
      <c r="V12" s="67"/>
      <c r="W12" s="67"/>
      <c r="X12" s="67"/>
      <c r="Y12" s="67"/>
      <c r="Z12" s="67"/>
    </row>
    <row r="13" ht="102.75" customHeight="1">
      <c r="A13" s="16" t="s">
        <v>910</v>
      </c>
      <c r="B13" s="30"/>
      <c r="C13" s="77" t="s">
        <v>911</v>
      </c>
      <c r="D13" s="77" t="s">
        <v>907</v>
      </c>
      <c r="E13" s="49" t="s">
        <v>246</v>
      </c>
      <c r="F13" s="77" t="s">
        <v>912</v>
      </c>
      <c r="G13" s="77" t="s">
        <v>913</v>
      </c>
      <c r="H13" s="49" t="s">
        <v>203</v>
      </c>
      <c r="I13" s="49" t="s">
        <v>8</v>
      </c>
      <c r="J13" s="49" t="s">
        <v>9</v>
      </c>
      <c r="K13" s="78" t="s">
        <v>38</v>
      </c>
      <c r="L13" s="21"/>
      <c r="M13" s="67"/>
      <c r="N13" s="67"/>
      <c r="O13" s="67"/>
      <c r="P13" s="67"/>
      <c r="Q13" s="67"/>
      <c r="R13" s="67"/>
      <c r="S13" s="67"/>
      <c r="T13" s="67"/>
      <c r="U13" s="67"/>
      <c r="V13" s="67"/>
      <c r="W13" s="67"/>
      <c r="X13" s="67"/>
      <c r="Y13" s="67"/>
      <c r="Z13" s="67"/>
    </row>
    <row r="14">
      <c r="A14" s="16" t="s">
        <v>914</v>
      </c>
      <c r="B14" s="31"/>
      <c r="C14" s="77" t="s">
        <v>915</v>
      </c>
      <c r="D14" s="49"/>
      <c r="E14" s="49"/>
      <c r="F14" s="77" t="s">
        <v>916</v>
      </c>
      <c r="G14" s="77" t="s">
        <v>917</v>
      </c>
      <c r="H14" s="49"/>
      <c r="I14" s="49" t="s">
        <v>12</v>
      </c>
      <c r="J14" s="49" t="s">
        <v>9</v>
      </c>
      <c r="K14" s="16" t="s">
        <v>168</v>
      </c>
      <c r="L14" s="21"/>
      <c r="M14" s="67"/>
      <c r="N14" s="67"/>
      <c r="O14" s="67"/>
      <c r="P14" s="67"/>
      <c r="Q14" s="67"/>
      <c r="R14" s="67"/>
      <c r="S14" s="67"/>
      <c r="T14" s="67"/>
      <c r="U14" s="67"/>
      <c r="V14" s="67"/>
      <c r="W14" s="67"/>
      <c r="X14" s="67"/>
      <c r="Y14" s="67"/>
      <c r="Z14" s="67"/>
    </row>
    <row r="15">
      <c r="A15" s="16" t="s">
        <v>918</v>
      </c>
      <c r="B15" s="34" t="s">
        <v>919</v>
      </c>
      <c r="C15" s="77" t="s">
        <v>920</v>
      </c>
      <c r="D15" s="77" t="s">
        <v>907</v>
      </c>
      <c r="E15" s="49" t="s">
        <v>246</v>
      </c>
      <c r="F15" s="77" t="s">
        <v>921</v>
      </c>
      <c r="G15" s="77" t="s">
        <v>922</v>
      </c>
      <c r="H15" s="49" t="s">
        <v>203</v>
      </c>
      <c r="I15" s="49" t="s">
        <v>8</v>
      </c>
      <c r="J15" s="49" t="s">
        <v>9</v>
      </c>
      <c r="K15" s="78" t="s">
        <v>38</v>
      </c>
      <c r="L15" s="21"/>
      <c r="M15" s="67"/>
      <c r="N15" s="67"/>
      <c r="O15" s="67"/>
      <c r="P15" s="67"/>
      <c r="Q15" s="67"/>
      <c r="R15" s="67"/>
      <c r="S15" s="67"/>
      <c r="T15" s="67"/>
      <c r="U15" s="67"/>
      <c r="V15" s="67"/>
      <c r="W15" s="67"/>
      <c r="X15" s="67"/>
      <c r="Y15" s="67"/>
      <c r="Z15" s="67"/>
    </row>
    <row r="16">
      <c r="A16" s="16" t="s">
        <v>923</v>
      </c>
      <c r="B16" s="30"/>
      <c r="C16" s="17" t="s">
        <v>924</v>
      </c>
      <c r="D16" s="77" t="s">
        <v>907</v>
      </c>
      <c r="E16" s="77" t="s">
        <v>925</v>
      </c>
      <c r="F16" s="77" t="s">
        <v>926</v>
      </c>
      <c r="G16" s="77" t="s">
        <v>927</v>
      </c>
      <c r="H16" s="77" t="s">
        <v>928</v>
      </c>
      <c r="I16" s="49" t="s">
        <v>8</v>
      </c>
      <c r="J16" s="49" t="s">
        <v>9</v>
      </c>
      <c r="K16" s="79" t="s">
        <v>51</v>
      </c>
      <c r="L16" s="21"/>
      <c r="M16" s="67"/>
      <c r="N16" s="67"/>
      <c r="O16" s="67"/>
      <c r="P16" s="67"/>
      <c r="Q16" s="67"/>
      <c r="R16" s="67"/>
      <c r="S16" s="67"/>
      <c r="T16" s="67"/>
      <c r="U16" s="67"/>
      <c r="V16" s="67"/>
      <c r="W16" s="67"/>
      <c r="X16" s="67"/>
      <c r="Y16" s="67"/>
      <c r="Z16" s="67"/>
    </row>
    <row r="17">
      <c r="A17" s="16" t="s">
        <v>929</v>
      </c>
      <c r="B17" s="30"/>
      <c r="C17" s="17" t="s">
        <v>930</v>
      </c>
      <c r="D17" s="77"/>
      <c r="E17" s="49"/>
      <c r="F17" s="80" t="s">
        <v>931</v>
      </c>
      <c r="G17" s="80" t="s">
        <v>932</v>
      </c>
      <c r="H17" s="77"/>
      <c r="I17" s="81" t="s">
        <v>8</v>
      </c>
      <c r="J17" s="81" t="s">
        <v>9</v>
      </c>
      <c r="K17" s="16" t="s">
        <v>168</v>
      </c>
      <c r="L17" s="21"/>
      <c r="M17" s="67"/>
      <c r="N17" s="67"/>
      <c r="O17" s="67"/>
      <c r="P17" s="67"/>
      <c r="Q17" s="67"/>
      <c r="R17" s="67"/>
      <c r="S17" s="67"/>
      <c r="T17" s="67"/>
      <c r="U17" s="67"/>
      <c r="V17" s="67"/>
      <c r="W17" s="67"/>
      <c r="X17" s="67"/>
      <c r="Y17" s="67"/>
      <c r="Z17" s="67"/>
    </row>
    <row r="18">
      <c r="A18" s="16" t="s">
        <v>933</v>
      </c>
      <c r="B18" s="30"/>
      <c r="C18" s="17" t="s">
        <v>934</v>
      </c>
      <c r="D18" s="21"/>
      <c r="E18" s="21"/>
      <c r="F18" s="18" t="s">
        <v>935</v>
      </c>
      <c r="G18" s="17" t="s">
        <v>936</v>
      </c>
      <c r="H18" s="21"/>
      <c r="I18" s="18" t="s">
        <v>8</v>
      </c>
      <c r="J18" s="18" t="s">
        <v>13</v>
      </c>
      <c r="K18" s="16" t="s">
        <v>168</v>
      </c>
      <c r="L18" s="21"/>
      <c r="M18" s="67"/>
      <c r="N18" s="67"/>
      <c r="O18" s="67"/>
      <c r="P18" s="67"/>
      <c r="Q18" s="67"/>
      <c r="R18" s="67"/>
      <c r="S18" s="67"/>
      <c r="T18" s="67"/>
      <c r="U18" s="67"/>
      <c r="V18" s="67"/>
      <c r="W18" s="67"/>
      <c r="X18" s="67"/>
      <c r="Y18" s="67"/>
      <c r="Z18" s="67"/>
    </row>
    <row r="19">
      <c r="A19" s="16" t="s">
        <v>937</v>
      </c>
      <c r="B19" s="30"/>
      <c r="C19" s="17" t="s">
        <v>938</v>
      </c>
      <c r="D19" s="21"/>
      <c r="E19" s="17" t="s">
        <v>939</v>
      </c>
      <c r="F19" s="18" t="s">
        <v>940</v>
      </c>
      <c r="G19" s="17" t="s">
        <v>941</v>
      </c>
      <c r="H19" s="21"/>
      <c r="I19" s="18" t="s">
        <v>8</v>
      </c>
      <c r="J19" s="18" t="s">
        <v>9</v>
      </c>
      <c r="K19" s="16" t="s">
        <v>168</v>
      </c>
      <c r="L19" s="21"/>
      <c r="M19" s="67"/>
      <c r="N19" s="67"/>
      <c r="O19" s="67"/>
      <c r="P19" s="67"/>
      <c r="Q19" s="67"/>
      <c r="R19" s="67"/>
      <c r="S19" s="67"/>
      <c r="T19" s="67"/>
      <c r="U19" s="67"/>
      <c r="V19" s="67"/>
      <c r="W19" s="67"/>
      <c r="X19" s="67"/>
      <c r="Y19" s="67"/>
      <c r="Z19" s="67"/>
    </row>
    <row r="20">
      <c r="A20" s="16" t="s">
        <v>942</v>
      </c>
      <c r="B20" s="30"/>
      <c r="C20" s="17" t="s">
        <v>943</v>
      </c>
      <c r="D20" s="21"/>
      <c r="E20" s="80" t="s">
        <v>944</v>
      </c>
      <c r="F20" s="17" t="s">
        <v>945</v>
      </c>
      <c r="G20" s="17" t="s">
        <v>946</v>
      </c>
      <c r="H20" s="21"/>
      <c r="I20" s="18" t="s">
        <v>12</v>
      </c>
      <c r="J20" s="18" t="s">
        <v>13</v>
      </c>
      <c r="K20" s="16" t="s">
        <v>168</v>
      </c>
      <c r="L20" s="21"/>
      <c r="M20" s="67"/>
      <c r="N20" s="67"/>
      <c r="O20" s="67"/>
      <c r="P20" s="67"/>
      <c r="Q20" s="67"/>
      <c r="R20" s="67"/>
      <c r="S20" s="67"/>
      <c r="T20" s="67"/>
      <c r="U20" s="67"/>
      <c r="V20" s="67"/>
      <c r="W20" s="67"/>
      <c r="X20" s="67"/>
      <c r="Y20" s="67"/>
      <c r="Z20" s="67"/>
    </row>
    <row r="21">
      <c r="A21" s="16" t="s">
        <v>947</v>
      </c>
      <c r="B21" s="31"/>
      <c r="C21" s="17" t="s">
        <v>948</v>
      </c>
      <c r="D21" s="21"/>
      <c r="E21" s="53" t="s">
        <v>949</v>
      </c>
      <c r="F21" s="17" t="s">
        <v>950</v>
      </c>
      <c r="G21" s="17" t="s">
        <v>951</v>
      </c>
      <c r="H21" s="21"/>
      <c r="I21" s="18" t="s">
        <v>12</v>
      </c>
      <c r="J21" s="18" t="s">
        <v>9</v>
      </c>
      <c r="K21" s="16" t="s">
        <v>168</v>
      </c>
      <c r="L21" s="21"/>
      <c r="M21" s="67"/>
      <c r="N21" s="67"/>
      <c r="O21" s="67"/>
      <c r="P21" s="67"/>
      <c r="Q21" s="67"/>
      <c r="R21" s="67"/>
      <c r="S21" s="67"/>
      <c r="T21" s="67"/>
      <c r="U21" s="67"/>
      <c r="V21" s="67"/>
      <c r="W21" s="67"/>
      <c r="X21" s="67"/>
      <c r="Y21" s="67"/>
      <c r="Z21" s="67"/>
    </row>
    <row r="22">
      <c r="A22" s="16" t="s">
        <v>952</v>
      </c>
      <c r="B22" s="34" t="s">
        <v>953</v>
      </c>
      <c r="C22" s="17" t="s">
        <v>954</v>
      </c>
      <c r="D22" s="77" t="s">
        <v>907</v>
      </c>
      <c r="E22" s="21"/>
      <c r="F22" s="17" t="s">
        <v>955</v>
      </c>
      <c r="G22" s="17" t="s">
        <v>956</v>
      </c>
      <c r="H22" s="21"/>
      <c r="I22" s="18" t="s">
        <v>8</v>
      </c>
      <c r="J22" s="18" t="s">
        <v>9</v>
      </c>
      <c r="K22" s="16" t="s">
        <v>38</v>
      </c>
      <c r="L22" s="21"/>
      <c r="M22" s="67"/>
      <c r="N22" s="67"/>
      <c r="O22" s="67"/>
      <c r="P22" s="67"/>
      <c r="Q22" s="67"/>
      <c r="R22" s="67"/>
      <c r="S22" s="67"/>
      <c r="T22" s="67"/>
      <c r="U22" s="67"/>
      <c r="V22" s="67"/>
      <c r="W22" s="67"/>
      <c r="X22" s="67"/>
      <c r="Y22" s="67"/>
      <c r="Z22" s="67"/>
    </row>
    <row r="23">
      <c r="A23" s="16" t="s">
        <v>957</v>
      </c>
      <c r="B23" s="30"/>
      <c r="C23" s="17" t="s">
        <v>958</v>
      </c>
      <c r="D23" s="80" t="s">
        <v>959</v>
      </c>
      <c r="E23" s="21"/>
      <c r="F23" s="17" t="s">
        <v>960</v>
      </c>
      <c r="G23" s="17" t="s">
        <v>961</v>
      </c>
      <c r="H23" s="21"/>
      <c r="I23" s="18" t="s">
        <v>8</v>
      </c>
      <c r="J23" s="18" t="s">
        <v>13</v>
      </c>
      <c r="K23" s="16" t="s">
        <v>168</v>
      </c>
      <c r="L23" s="21"/>
      <c r="M23" s="67"/>
      <c r="N23" s="67"/>
      <c r="O23" s="67"/>
      <c r="P23" s="67"/>
      <c r="Q23" s="67"/>
      <c r="R23" s="67"/>
      <c r="S23" s="67"/>
      <c r="T23" s="67"/>
      <c r="U23" s="67"/>
      <c r="V23" s="67"/>
      <c r="W23" s="67"/>
      <c r="X23" s="67"/>
      <c r="Y23" s="67"/>
      <c r="Z23" s="67"/>
    </row>
    <row r="24">
      <c r="A24" s="16" t="s">
        <v>962</v>
      </c>
      <c r="B24" s="30"/>
      <c r="C24" s="17" t="s">
        <v>963</v>
      </c>
      <c r="D24" s="21"/>
      <c r="E24" s="21"/>
      <c r="F24" s="17" t="s">
        <v>964</v>
      </c>
      <c r="G24" s="17" t="s">
        <v>965</v>
      </c>
      <c r="H24" s="21"/>
      <c r="I24" s="18" t="s">
        <v>8</v>
      </c>
      <c r="J24" s="18" t="s">
        <v>9</v>
      </c>
      <c r="K24" s="16" t="s">
        <v>168</v>
      </c>
      <c r="L24" s="21"/>
      <c r="M24" s="67"/>
      <c r="N24" s="67"/>
      <c r="O24" s="67"/>
      <c r="P24" s="67"/>
      <c r="Q24" s="67"/>
      <c r="R24" s="67"/>
      <c r="S24" s="67"/>
      <c r="T24" s="67"/>
      <c r="U24" s="67"/>
      <c r="V24" s="67"/>
      <c r="W24" s="67"/>
      <c r="X24" s="67"/>
      <c r="Y24" s="67"/>
      <c r="Z24" s="67"/>
    </row>
    <row r="25">
      <c r="A25" s="16" t="s">
        <v>966</v>
      </c>
      <c r="B25" s="30"/>
      <c r="C25" s="17" t="s">
        <v>967</v>
      </c>
      <c r="D25" s="80" t="s">
        <v>959</v>
      </c>
      <c r="E25" s="21"/>
      <c r="F25" s="18" t="s">
        <v>968</v>
      </c>
      <c r="G25" s="17" t="s">
        <v>969</v>
      </c>
      <c r="H25" s="21"/>
      <c r="I25" s="18" t="s">
        <v>8</v>
      </c>
      <c r="J25" s="18" t="s">
        <v>9</v>
      </c>
      <c r="K25" s="16" t="s">
        <v>168</v>
      </c>
      <c r="L25" s="21"/>
      <c r="M25" s="67"/>
      <c r="N25" s="67"/>
      <c r="O25" s="67"/>
      <c r="P25" s="67"/>
      <c r="Q25" s="67"/>
      <c r="R25" s="67"/>
      <c r="S25" s="67"/>
      <c r="T25" s="67"/>
      <c r="U25" s="67"/>
      <c r="V25" s="67"/>
      <c r="W25" s="67"/>
      <c r="X25" s="67"/>
      <c r="Y25" s="67"/>
      <c r="Z25" s="67"/>
    </row>
    <row r="26">
      <c r="A26" s="16" t="s">
        <v>970</v>
      </c>
      <c r="B26" s="30"/>
      <c r="C26" s="17" t="s">
        <v>971</v>
      </c>
      <c r="D26" s="80" t="s">
        <v>959</v>
      </c>
      <c r="E26" s="21"/>
      <c r="F26" s="17" t="s">
        <v>972</v>
      </c>
      <c r="G26" s="17" t="s">
        <v>973</v>
      </c>
      <c r="H26" s="21"/>
      <c r="I26" s="18" t="s">
        <v>8</v>
      </c>
      <c r="J26" s="18" t="s">
        <v>9</v>
      </c>
      <c r="K26" s="16" t="s">
        <v>168</v>
      </c>
      <c r="L26" s="21"/>
      <c r="M26" s="67"/>
      <c r="N26" s="67"/>
      <c r="O26" s="67"/>
      <c r="P26" s="67"/>
      <c r="Q26" s="67"/>
      <c r="R26" s="67"/>
      <c r="S26" s="67"/>
      <c r="T26" s="67"/>
      <c r="U26" s="67"/>
      <c r="V26" s="67"/>
      <c r="W26" s="67"/>
      <c r="X26" s="67"/>
      <c r="Y26" s="67"/>
      <c r="Z26" s="67"/>
    </row>
    <row r="27">
      <c r="A27" s="16" t="s">
        <v>974</v>
      </c>
      <c r="B27" s="30"/>
      <c r="C27" s="17" t="s">
        <v>975</v>
      </c>
      <c r="D27" s="17" t="s">
        <v>976</v>
      </c>
      <c r="E27" s="21"/>
      <c r="F27" s="17" t="s">
        <v>977</v>
      </c>
      <c r="G27" s="17" t="s">
        <v>978</v>
      </c>
      <c r="H27" s="21"/>
      <c r="I27" s="18" t="s">
        <v>8</v>
      </c>
      <c r="J27" s="18" t="s">
        <v>9</v>
      </c>
      <c r="K27" s="16" t="s">
        <v>168</v>
      </c>
      <c r="L27" s="21"/>
      <c r="M27" s="67"/>
      <c r="N27" s="67"/>
      <c r="O27" s="67"/>
      <c r="P27" s="67"/>
      <c r="Q27" s="67"/>
      <c r="R27" s="67"/>
      <c r="S27" s="67"/>
      <c r="T27" s="67"/>
      <c r="U27" s="67"/>
      <c r="V27" s="67"/>
      <c r="W27" s="67"/>
      <c r="X27" s="67"/>
      <c r="Y27" s="67"/>
      <c r="Z27" s="67"/>
    </row>
    <row r="28">
      <c r="A28" s="16" t="s">
        <v>979</v>
      </c>
      <c r="B28" s="30"/>
      <c r="C28" s="17" t="s">
        <v>980</v>
      </c>
      <c r="D28" s="17" t="s">
        <v>959</v>
      </c>
      <c r="E28" s="18" t="s">
        <v>981</v>
      </c>
      <c r="F28" s="17" t="s">
        <v>982</v>
      </c>
      <c r="G28" s="17" t="s">
        <v>983</v>
      </c>
      <c r="H28" s="21"/>
      <c r="I28" s="18" t="s">
        <v>8</v>
      </c>
      <c r="J28" s="18" t="s">
        <v>9</v>
      </c>
      <c r="K28" s="16" t="s">
        <v>168</v>
      </c>
      <c r="L28" s="21"/>
      <c r="M28" s="67"/>
      <c r="N28" s="67"/>
      <c r="O28" s="67"/>
      <c r="P28" s="67"/>
      <c r="Q28" s="67"/>
      <c r="R28" s="67"/>
      <c r="S28" s="67"/>
      <c r="T28" s="67"/>
      <c r="U28" s="67"/>
      <c r="V28" s="67"/>
      <c r="W28" s="67"/>
      <c r="X28" s="67"/>
      <c r="Y28" s="67"/>
      <c r="Z28" s="67"/>
    </row>
    <row r="29">
      <c r="A29" s="16" t="s">
        <v>984</v>
      </c>
      <c r="B29" s="30"/>
      <c r="C29" s="17" t="s">
        <v>985</v>
      </c>
      <c r="D29" s="17" t="s">
        <v>959</v>
      </c>
      <c r="E29" s="18" t="s">
        <v>986</v>
      </c>
      <c r="F29" s="18" t="s">
        <v>987</v>
      </c>
      <c r="G29" s="17" t="s">
        <v>988</v>
      </c>
      <c r="H29" s="21"/>
      <c r="I29" s="18" t="s">
        <v>12</v>
      </c>
      <c r="J29" s="18" t="s">
        <v>9</v>
      </c>
      <c r="K29" s="16" t="s">
        <v>168</v>
      </c>
      <c r="L29" s="21"/>
      <c r="M29" s="67"/>
      <c r="N29" s="67"/>
      <c r="O29" s="67"/>
      <c r="P29" s="67"/>
      <c r="Q29" s="67"/>
      <c r="R29" s="67"/>
      <c r="S29" s="67"/>
      <c r="T29" s="67"/>
      <c r="U29" s="67"/>
      <c r="V29" s="67"/>
      <c r="W29" s="67"/>
      <c r="X29" s="67"/>
      <c r="Y29" s="67"/>
      <c r="Z29" s="67"/>
    </row>
    <row r="30">
      <c r="A30" s="16" t="s">
        <v>989</v>
      </c>
      <c r="B30" s="30"/>
      <c r="C30" s="17" t="s">
        <v>990</v>
      </c>
      <c r="D30" s="17" t="s">
        <v>959</v>
      </c>
      <c r="E30" s="21"/>
      <c r="F30" s="17" t="s">
        <v>991</v>
      </c>
      <c r="G30" s="17" t="s">
        <v>992</v>
      </c>
      <c r="H30" s="21"/>
      <c r="I30" s="18" t="s">
        <v>12</v>
      </c>
      <c r="J30" s="18" t="s">
        <v>9</v>
      </c>
      <c r="K30" s="16" t="s">
        <v>168</v>
      </c>
      <c r="L30" s="21"/>
      <c r="M30" s="67"/>
      <c r="N30" s="67"/>
      <c r="O30" s="67"/>
      <c r="P30" s="67"/>
      <c r="Q30" s="67"/>
      <c r="R30" s="67"/>
      <c r="S30" s="67"/>
      <c r="T30" s="67"/>
      <c r="U30" s="67"/>
      <c r="V30" s="67"/>
      <c r="W30" s="67"/>
      <c r="X30" s="67"/>
      <c r="Y30" s="67"/>
      <c r="Z30" s="67"/>
    </row>
    <row r="31">
      <c r="A31" s="16" t="s">
        <v>993</v>
      </c>
      <c r="B31" s="30"/>
      <c r="C31" s="17" t="s">
        <v>994</v>
      </c>
      <c r="D31" s="17" t="s">
        <v>959</v>
      </c>
      <c r="E31" s="21"/>
      <c r="F31" s="17" t="s">
        <v>995</v>
      </c>
      <c r="G31" s="17" t="s">
        <v>996</v>
      </c>
      <c r="H31" s="21"/>
      <c r="I31" s="18" t="s">
        <v>12</v>
      </c>
      <c r="J31" s="18" t="s">
        <v>9</v>
      </c>
      <c r="K31" s="16" t="s">
        <v>168</v>
      </c>
      <c r="L31" s="21"/>
      <c r="M31" s="67"/>
      <c r="N31" s="67"/>
      <c r="O31" s="67"/>
      <c r="P31" s="67"/>
      <c r="Q31" s="67"/>
      <c r="R31" s="67"/>
      <c r="S31" s="67"/>
      <c r="T31" s="67"/>
      <c r="U31" s="67"/>
      <c r="V31" s="67"/>
      <c r="W31" s="67"/>
      <c r="X31" s="67"/>
      <c r="Y31" s="67"/>
      <c r="Z31" s="67"/>
    </row>
    <row r="32">
      <c r="A32" s="16" t="s">
        <v>997</v>
      </c>
      <c r="B32" s="31"/>
      <c r="C32" s="17" t="s">
        <v>998</v>
      </c>
      <c r="D32" s="21"/>
      <c r="E32" s="21"/>
      <c r="F32" s="17" t="s">
        <v>999</v>
      </c>
      <c r="G32" s="17" t="s">
        <v>1000</v>
      </c>
      <c r="H32" s="21"/>
      <c r="I32" s="18" t="s">
        <v>12</v>
      </c>
      <c r="J32" s="18" t="s">
        <v>13</v>
      </c>
      <c r="K32" s="16" t="s">
        <v>168</v>
      </c>
      <c r="L32" s="21"/>
      <c r="M32" s="67"/>
      <c r="N32" s="67"/>
      <c r="O32" s="67"/>
      <c r="P32" s="67"/>
      <c r="Q32" s="67"/>
      <c r="R32" s="67"/>
      <c r="S32" s="67"/>
      <c r="T32" s="67"/>
      <c r="U32" s="67"/>
      <c r="V32" s="67"/>
      <c r="W32" s="67"/>
      <c r="X32" s="67"/>
      <c r="Y32" s="67"/>
      <c r="Z32" s="67"/>
    </row>
    <row r="33">
      <c r="A33" s="16" t="s">
        <v>1001</v>
      </c>
      <c r="B33" s="59" t="s">
        <v>1002</v>
      </c>
      <c r="C33" s="17" t="s">
        <v>1003</v>
      </c>
      <c r="D33" s="17" t="s">
        <v>907</v>
      </c>
      <c r="E33" s="21"/>
      <c r="F33" s="17" t="s">
        <v>1004</v>
      </c>
      <c r="G33" s="17" t="s">
        <v>1005</v>
      </c>
      <c r="H33" s="18" t="s">
        <v>203</v>
      </c>
      <c r="I33" s="18" t="s">
        <v>8</v>
      </c>
      <c r="J33" s="18" t="s">
        <v>9</v>
      </c>
      <c r="K33" s="16" t="s">
        <v>38</v>
      </c>
      <c r="L33" s="67"/>
      <c r="M33" s="67"/>
      <c r="N33" s="67"/>
      <c r="O33" s="67"/>
      <c r="P33" s="67"/>
      <c r="Q33" s="67"/>
      <c r="R33" s="67"/>
      <c r="S33" s="67"/>
      <c r="T33" s="67"/>
      <c r="U33" s="67"/>
      <c r="V33" s="67"/>
      <c r="W33" s="67"/>
      <c r="X33" s="67"/>
      <c r="Y33" s="67"/>
      <c r="Z33" s="67"/>
    </row>
    <row r="34">
      <c r="A34" s="16" t="s">
        <v>1006</v>
      </c>
      <c r="B34" s="30"/>
      <c r="C34" s="17" t="s">
        <v>1007</v>
      </c>
      <c r="D34" s="17" t="s">
        <v>907</v>
      </c>
      <c r="E34" s="18" t="s">
        <v>246</v>
      </c>
      <c r="F34" s="17" t="s">
        <v>1008</v>
      </c>
      <c r="G34" s="17" t="s">
        <v>1009</v>
      </c>
      <c r="H34" s="17" t="s">
        <v>1010</v>
      </c>
      <c r="I34" s="18" t="s">
        <v>8</v>
      </c>
      <c r="J34" s="18" t="s">
        <v>9</v>
      </c>
      <c r="K34" s="16" t="s">
        <v>51</v>
      </c>
      <c r="L34" s="67"/>
      <c r="M34" s="67"/>
      <c r="N34" s="67"/>
      <c r="O34" s="67"/>
      <c r="P34" s="67"/>
      <c r="Q34" s="67"/>
      <c r="R34" s="67"/>
      <c r="S34" s="67"/>
      <c r="T34" s="67"/>
      <c r="U34" s="67"/>
      <c r="V34" s="67"/>
      <c r="W34" s="67"/>
      <c r="X34" s="67"/>
      <c r="Y34" s="67"/>
      <c r="Z34" s="67"/>
    </row>
    <row r="35">
      <c r="A35" s="16" t="s">
        <v>1011</v>
      </c>
      <c r="B35" s="30"/>
      <c r="C35" s="17" t="s">
        <v>1012</v>
      </c>
      <c r="D35" s="17" t="s">
        <v>1013</v>
      </c>
      <c r="E35" s="18" t="s">
        <v>246</v>
      </c>
      <c r="F35" s="17" t="s">
        <v>1014</v>
      </c>
      <c r="G35" s="17" t="s">
        <v>961</v>
      </c>
      <c r="H35" s="18" t="s">
        <v>174</v>
      </c>
      <c r="I35" s="18" t="s">
        <v>8</v>
      </c>
      <c r="J35" s="18" t="s">
        <v>9</v>
      </c>
      <c r="K35" s="16" t="s">
        <v>168</v>
      </c>
      <c r="L35" s="67"/>
      <c r="M35" s="67"/>
      <c r="N35" s="67"/>
      <c r="O35" s="67"/>
      <c r="P35" s="67"/>
      <c r="Q35" s="67"/>
      <c r="R35" s="67"/>
      <c r="S35" s="67"/>
      <c r="T35" s="67"/>
      <c r="U35" s="67"/>
      <c r="V35" s="67"/>
      <c r="W35" s="67"/>
      <c r="X35" s="67"/>
      <c r="Y35" s="67"/>
      <c r="Z35" s="67"/>
    </row>
    <row r="36">
      <c r="A36" s="16" t="s">
        <v>1015</v>
      </c>
      <c r="B36" s="30"/>
      <c r="C36" s="17" t="s">
        <v>1016</v>
      </c>
      <c r="D36" s="17" t="s">
        <v>1013</v>
      </c>
      <c r="E36" s="17" t="s">
        <v>1017</v>
      </c>
      <c r="F36" s="17" t="s">
        <v>1018</v>
      </c>
      <c r="G36" s="17" t="s">
        <v>1019</v>
      </c>
      <c r="H36" s="18" t="s">
        <v>174</v>
      </c>
      <c r="I36" s="18" t="s">
        <v>8</v>
      </c>
      <c r="J36" s="18" t="s">
        <v>9</v>
      </c>
      <c r="K36" s="16" t="s">
        <v>168</v>
      </c>
      <c r="L36" s="67"/>
      <c r="M36" s="67"/>
      <c r="N36" s="67"/>
      <c r="O36" s="67"/>
      <c r="P36" s="67"/>
      <c r="Q36" s="67"/>
      <c r="R36" s="67"/>
      <c r="S36" s="67"/>
      <c r="T36" s="67"/>
      <c r="U36" s="67"/>
      <c r="V36" s="67"/>
      <c r="W36" s="67"/>
      <c r="X36" s="67"/>
      <c r="Y36" s="67"/>
      <c r="Z36" s="67"/>
    </row>
    <row r="37">
      <c r="A37" s="16" t="s">
        <v>1020</v>
      </c>
      <c r="B37" s="30"/>
      <c r="C37" s="17" t="s">
        <v>1021</v>
      </c>
      <c r="D37" s="17" t="s">
        <v>1013</v>
      </c>
      <c r="E37" s="21"/>
      <c r="F37" s="18" t="s">
        <v>1022</v>
      </c>
      <c r="G37" s="17" t="s">
        <v>1023</v>
      </c>
      <c r="H37" s="18" t="s">
        <v>174</v>
      </c>
      <c r="I37" s="18" t="s">
        <v>8</v>
      </c>
      <c r="J37" s="18" t="s">
        <v>9</v>
      </c>
      <c r="K37" s="16" t="s">
        <v>168</v>
      </c>
      <c r="L37" s="67"/>
      <c r="M37" s="67"/>
      <c r="N37" s="67"/>
      <c r="O37" s="67"/>
      <c r="P37" s="67"/>
      <c r="Q37" s="67"/>
      <c r="R37" s="67"/>
      <c r="S37" s="67"/>
      <c r="T37" s="67"/>
      <c r="U37" s="67"/>
      <c r="V37" s="67"/>
      <c r="W37" s="67"/>
      <c r="X37" s="67"/>
      <c r="Y37" s="67"/>
      <c r="Z37" s="67"/>
    </row>
    <row r="38">
      <c r="A38" s="16" t="s">
        <v>1024</v>
      </c>
      <c r="B38" s="30"/>
      <c r="C38" s="17" t="s">
        <v>1025</v>
      </c>
      <c r="D38" s="17" t="s">
        <v>1013</v>
      </c>
      <c r="E38" s="21"/>
      <c r="F38" s="17" t="s">
        <v>1026</v>
      </c>
      <c r="G38" s="17" t="s">
        <v>1027</v>
      </c>
      <c r="H38" s="18" t="s">
        <v>174</v>
      </c>
      <c r="I38" s="18" t="s">
        <v>8</v>
      </c>
      <c r="J38" s="18" t="s">
        <v>9</v>
      </c>
      <c r="K38" s="16" t="s">
        <v>168</v>
      </c>
      <c r="L38" s="67"/>
      <c r="M38" s="67"/>
      <c r="N38" s="67"/>
      <c r="O38" s="67"/>
      <c r="P38" s="67"/>
      <c r="Q38" s="67"/>
      <c r="R38" s="67"/>
      <c r="S38" s="67"/>
      <c r="T38" s="67"/>
      <c r="U38" s="67"/>
      <c r="V38" s="67"/>
      <c r="W38" s="67"/>
      <c r="X38" s="67"/>
      <c r="Y38" s="67"/>
      <c r="Z38" s="67"/>
    </row>
    <row r="39">
      <c r="A39" s="16" t="s">
        <v>1028</v>
      </c>
      <c r="B39" s="31"/>
      <c r="C39" s="17" t="s">
        <v>1029</v>
      </c>
      <c r="D39" s="17" t="s">
        <v>1030</v>
      </c>
      <c r="E39" s="18" t="s">
        <v>1031</v>
      </c>
      <c r="F39" s="17" t="s">
        <v>1026</v>
      </c>
      <c r="G39" s="17" t="s">
        <v>1032</v>
      </c>
      <c r="H39" s="18" t="s">
        <v>174</v>
      </c>
      <c r="I39" s="18" t="s">
        <v>8</v>
      </c>
      <c r="J39" s="18" t="s">
        <v>13</v>
      </c>
      <c r="K39" s="16" t="s">
        <v>168</v>
      </c>
      <c r="L39" s="67"/>
      <c r="M39" s="67"/>
      <c r="N39" s="67"/>
      <c r="O39" s="67"/>
      <c r="P39" s="67"/>
      <c r="Q39" s="67"/>
      <c r="R39" s="67"/>
      <c r="S39" s="67"/>
      <c r="T39" s="67"/>
      <c r="U39" s="67"/>
      <c r="V39" s="67"/>
      <c r="W39" s="67"/>
      <c r="X39" s="67"/>
      <c r="Y39" s="67"/>
      <c r="Z39" s="67"/>
    </row>
    <row r="40">
      <c r="A40" s="16" t="s">
        <v>1028</v>
      </c>
      <c r="B40" s="21"/>
      <c r="C40" s="17" t="s">
        <v>1033</v>
      </c>
      <c r="D40" s="21"/>
      <c r="E40" s="18" t="s">
        <v>1034</v>
      </c>
      <c r="F40" s="17" t="s">
        <v>1035</v>
      </c>
      <c r="G40" s="17" t="s">
        <v>1036</v>
      </c>
      <c r="H40" s="18" t="s">
        <v>174</v>
      </c>
      <c r="I40" s="18" t="s">
        <v>12</v>
      </c>
      <c r="J40" s="18" t="s">
        <v>9</v>
      </c>
      <c r="K40" s="16" t="s">
        <v>168</v>
      </c>
      <c r="L40" s="67"/>
      <c r="M40" s="67"/>
      <c r="N40" s="67"/>
      <c r="O40" s="67"/>
      <c r="P40" s="67"/>
      <c r="Q40" s="67"/>
      <c r="R40" s="67"/>
      <c r="S40" s="67"/>
      <c r="T40" s="67"/>
      <c r="U40" s="67"/>
      <c r="V40" s="67"/>
      <c r="W40" s="67"/>
      <c r="X40" s="67"/>
      <c r="Y40" s="67"/>
      <c r="Z40" s="67"/>
    </row>
    <row r="41">
      <c r="A41" s="21"/>
      <c r="B41" s="21"/>
      <c r="C41" s="17" t="s">
        <v>1037</v>
      </c>
      <c r="D41" s="17" t="s">
        <v>1013</v>
      </c>
      <c r="E41" s="49" t="s">
        <v>1034</v>
      </c>
      <c r="F41" s="18" t="s">
        <v>1038</v>
      </c>
      <c r="G41" s="17" t="s">
        <v>1039</v>
      </c>
      <c r="H41" s="18" t="s">
        <v>174</v>
      </c>
      <c r="I41" s="18" t="s">
        <v>12</v>
      </c>
      <c r="J41" s="18" t="s">
        <v>9</v>
      </c>
      <c r="K41" s="16" t="s">
        <v>168</v>
      </c>
      <c r="L41" s="67"/>
      <c r="M41" s="67"/>
      <c r="N41" s="67"/>
      <c r="O41" s="67"/>
      <c r="P41" s="67"/>
      <c r="Q41" s="67"/>
      <c r="R41" s="67"/>
      <c r="S41" s="67"/>
      <c r="T41" s="67"/>
      <c r="U41" s="67"/>
      <c r="V41" s="67"/>
      <c r="W41" s="67"/>
      <c r="X41" s="67"/>
      <c r="Y41" s="67"/>
      <c r="Z41" s="67"/>
    </row>
    <row r="42">
      <c r="A42" s="21"/>
      <c r="B42" s="21"/>
      <c r="C42" s="17" t="s">
        <v>1040</v>
      </c>
      <c r="D42" s="21"/>
      <c r="E42" s="21"/>
      <c r="F42" s="17" t="s">
        <v>1041</v>
      </c>
      <c r="G42" s="17" t="s">
        <v>1042</v>
      </c>
      <c r="H42" s="21"/>
      <c r="I42" s="21"/>
      <c r="J42" s="21"/>
      <c r="K42" s="25"/>
      <c r="L42" s="67"/>
      <c r="M42" s="67"/>
      <c r="N42" s="67"/>
      <c r="O42" s="67"/>
      <c r="P42" s="67"/>
      <c r="Q42" s="67"/>
      <c r="R42" s="67"/>
      <c r="S42" s="67"/>
      <c r="T42" s="67"/>
      <c r="U42" s="67"/>
      <c r="V42" s="67"/>
      <c r="W42" s="67"/>
      <c r="X42" s="67"/>
      <c r="Y42" s="67"/>
      <c r="Z42" s="67"/>
    </row>
    <row r="43">
      <c r="A43" s="21"/>
      <c r="B43" s="21"/>
      <c r="C43" s="21"/>
      <c r="D43" s="21"/>
      <c r="E43" s="21"/>
      <c r="F43" s="21"/>
      <c r="G43" s="21"/>
      <c r="H43" s="21"/>
      <c r="I43" s="21"/>
      <c r="J43" s="21"/>
      <c r="K43" s="25"/>
      <c r="L43" s="67"/>
      <c r="M43" s="67"/>
      <c r="N43" s="67"/>
      <c r="O43" s="67"/>
      <c r="P43" s="67"/>
      <c r="Q43" s="67"/>
      <c r="R43" s="67"/>
      <c r="S43" s="67"/>
      <c r="T43" s="67"/>
      <c r="U43" s="67"/>
      <c r="V43" s="67"/>
      <c r="W43" s="67"/>
      <c r="X43" s="67"/>
      <c r="Y43" s="67"/>
      <c r="Z43" s="67"/>
    </row>
    <row r="44">
      <c r="A44" s="21"/>
      <c r="B44" s="21"/>
      <c r="C44" s="21"/>
      <c r="D44" s="21"/>
      <c r="E44" s="21"/>
      <c r="F44" s="21"/>
      <c r="G44" s="21"/>
      <c r="H44" s="21"/>
      <c r="I44" s="21"/>
      <c r="J44" s="21"/>
      <c r="K44" s="25"/>
      <c r="L44" s="67"/>
      <c r="M44" s="67"/>
      <c r="N44" s="67"/>
      <c r="O44" s="67"/>
      <c r="P44" s="67"/>
      <c r="Q44" s="67"/>
      <c r="R44" s="67"/>
      <c r="S44" s="67"/>
      <c r="T44" s="67"/>
      <c r="U44" s="67"/>
      <c r="V44" s="67"/>
      <c r="W44" s="67"/>
      <c r="X44" s="67"/>
      <c r="Y44" s="67"/>
      <c r="Z44" s="67"/>
    </row>
    <row r="45">
      <c r="A45" s="21"/>
      <c r="B45" s="21"/>
      <c r="C45" s="21"/>
      <c r="D45" s="21"/>
      <c r="E45" s="21"/>
      <c r="F45" s="21"/>
      <c r="G45" s="21"/>
      <c r="H45" s="21"/>
      <c r="I45" s="21"/>
      <c r="J45" s="21"/>
      <c r="K45" s="25"/>
      <c r="L45" s="67"/>
      <c r="M45" s="67"/>
      <c r="N45" s="67"/>
      <c r="O45" s="67"/>
      <c r="P45" s="67"/>
      <c r="Q45" s="67"/>
      <c r="R45" s="67"/>
      <c r="S45" s="67"/>
      <c r="T45" s="67"/>
      <c r="U45" s="67"/>
      <c r="V45" s="67"/>
      <c r="W45" s="67"/>
      <c r="X45" s="67"/>
      <c r="Y45" s="67"/>
      <c r="Z45" s="67"/>
    </row>
    <row r="46">
      <c r="A46" s="21"/>
      <c r="B46" s="21"/>
      <c r="C46" s="21"/>
      <c r="D46" s="21"/>
      <c r="E46" s="21"/>
      <c r="F46" s="21"/>
      <c r="G46" s="21"/>
      <c r="H46" s="21"/>
      <c r="I46" s="21"/>
      <c r="J46" s="21"/>
      <c r="K46" s="25"/>
      <c r="L46" s="67"/>
      <c r="M46" s="67"/>
      <c r="N46" s="67"/>
      <c r="O46" s="67"/>
      <c r="P46" s="67"/>
      <c r="Q46" s="67"/>
      <c r="R46" s="67"/>
      <c r="S46" s="67"/>
      <c r="T46" s="67"/>
      <c r="U46" s="67"/>
      <c r="V46" s="67"/>
      <c r="W46" s="67"/>
      <c r="X46" s="67"/>
      <c r="Y46" s="67"/>
      <c r="Z46" s="67"/>
    </row>
    <row r="47">
      <c r="A47" s="21"/>
      <c r="B47" s="21"/>
      <c r="C47" s="21"/>
      <c r="D47" s="21"/>
      <c r="E47" s="21"/>
      <c r="F47" s="21"/>
      <c r="G47" s="21"/>
      <c r="H47" s="21"/>
      <c r="I47" s="21"/>
      <c r="J47" s="21"/>
      <c r="K47" s="25"/>
      <c r="L47" s="67"/>
      <c r="M47" s="67"/>
      <c r="N47" s="67"/>
      <c r="O47" s="67"/>
      <c r="P47" s="67"/>
      <c r="Q47" s="67"/>
      <c r="R47" s="67"/>
      <c r="S47" s="67"/>
      <c r="T47" s="67"/>
      <c r="U47" s="67"/>
      <c r="V47" s="67"/>
      <c r="W47" s="67"/>
      <c r="X47" s="67"/>
      <c r="Y47" s="67"/>
      <c r="Z47" s="67"/>
    </row>
    <row r="48">
      <c r="A48" s="21"/>
      <c r="B48" s="21"/>
      <c r="C48" s="21"/>
      <c r="D48" s="21"/>
      <c r="E48" s="21"/>
      <c r="F48" s="21"/>
      <c r="G48" s="21"/>
      <c r="H48" s="21"/>
      <c r="I48" s="21"/>
      <c r="J48" s="21"/>
      <c r="K48" s="25"/>
      <c r="L48" s="67"/>
      <c r="M48" s="67"/>
      <c r="N48" s="67"/>
      <c r="O48" s="67"/>
      <c r="P48" s="67"/>
      <c r="Q48" s="67"/>
      <c r="R48" s="67"/>
      <c r="S48" s="67"/>
      <c r="T48" s="67"/>
      <c r="U48" s="67"/>
      <c r="V48" s="67"/>
      <c r="W48" s="67"/>
      <c r="X48" s="67"/>
      <c r="Y48" s="67"/>
      <c r="Z48" s="67"/>
    </row>
    <row r="49">
      <c r="A49" s="21"/>
      <c r="B49" s="21"/>
      <c r="C49" s="21"/>
      <c r="D49" s="21"/>
      <c r="E49" s="21"/>
      <c r="F49" s="21"/>
      <c r="G49" s="21"/>
      <c r="H49" s="21"/>
      <c r="I49" s="21"/>
      <c r="J49" s="21"/>
      <c r="K49" s="25"/>
      <c r="L49" s="67"/>
      <c r="M49" s="67"/>
      <c r="N49" s="67"/>
      <c r="O49" s="67"/>
      <c r="P49" s="67"/>
      <c r="Q49" s="67"/>
      <c r="R49" s="67"/>
      <c r="S49" s="67"/>
      <c r="T49" s="67"/>
      <c r="U49" s="67"/>
      <c r="V49" s="67"/>
      <c r="W49" s="67"/>
      <c r="X49" s="67"/>
      <c r="Y49" s="67"/>
      <c r="Z49" s="67"/>
    </row>
    <row r="50">
      <c r="A50" s="21"/>
      <c r="B50" s="21"/>
      <c r="C50" s="21"/>
      <c r="D50" s="21"/>
      <c r="E50" s="21"/>
      <c r="F50" s="21"/>
      <c r="G50" s="21"/>
      <c r="H50" s="21"/>
      <c r="I50" s="21"/>
      <c r="J50" s="21"/>
      <c r="K50" s="25"/>
      <c r="L50" s="67"/>
      <c r="M50" s="67"/>
      <c r="N50" s="67"/>
      <c r="O50" s="67"/>
      <c r="P50" s="67"/>
      <c r="Q50" s="67"/>
      <c r="R50" s="67"/>
      <c r="S50" s="67"/>
      <c r="T50" s="67"/>
      <c r="U50" s="67"/>
      <c r="V50" s="67"/>
      <c r="W50" s="67"/>
      <c r="X50" s="67"/>
      <c r="Y50" s="67"/>
      <c r="Z50" s="67"/>
    </row>
    <row r="51">
      <c r="A51" s="21"/>
      <c r="B51" s="21"/>
      <c r="C51" s="21"/>
      <c r="D51" s="21"/>
      <c r="E51" s="21"/>
      <c r="F51" s="21"/>
      <c r="G51" s="21"/>
      <c r="H51" s="21"/>
      <c r="I51" s="21"/>
      <c r="J51" s="21"/>
      <c r="K51" s="25"/>
      <c r="L51" s="67"/>
      <c r="M51" s="67"/>
      <c r="N51" s="67"/>
      <c r="O51" s="67"/>
      <c r="P51" s="67"/>
      <c r="Q51" s="67"/>
      <c r="R51" s="67"/>
      <c r="S51" s="67"/>
      <c r="T51" s="67"/>
      <c r="U51" s="67"/>
      <c r="V51" s="67"/>
      <c r="W51" s="67"/>
      <c r="X51" s="67"/>
      <c r="Y51" s="67"/>
      <c r="Z51" s="67"/>
    </row>
    <row r="52">
      <c r="A52" s="21"/>
      <c r="B52" s="21"/>
      <c r="C52" s="21"/>
      <c r="D52" s="21"/>
      <c r="E52" s="21"/>
      <c r="F52" s="21"/>
      <c r="G52" s="21"/>
      <c r="H52" s="21"/>
      <c r="I52" s="21"/>
      <c r="J52" s="21"/>
      <c r="K52" s="25"/>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sheetData>
  <mergeCells count="7">
    <mergeCell ref="G2:H2"/>
    <mergeCell ref="J2:K2"/>
    <mergeCell ref="B10:B11"/>
    <mergeCell ref="B12:B14"/>
    <mergeCell ref="B15:B21"/>
    <mergeCell ref="B22:B32"/>
    <mergeCell ref="B33:B39"/>
  </mergeCells>
  <conditionalFormatting sqref="K14 K17:K52">
    <cfRule type="cellIs" dxfId="2" priority="1" operator="equal">
      <formula>"NE"</formula>
    </cfRule>
  </conditionalFormatting>
  <conditionalFormatting sqref="K14 K17:K52">
    <cfRule type="cellIs" dxfId="3" priority="2" operator="equal">
      <formula>"NA"</formula>
    </cfRule>
  </conditionalFormatting>
  <conditionalFormatting sqref="K14 K17:K52">
    <cfRule type="cellIs" dxfId="0" priority="3" operator="equal">
      <formula>"P"</formula>
    </cfRule>
  </conditionalFormatting>
  <conditionalFormatting sqref="K9 K14 K17:K52">
    <cfRule type="cellIs" dxfId="1" priority="4" operator="equal">
      <formula>"F"</formula>
    </cfRule>
  </conditionalFormatting>
  <dataValidations>
    <dataValidation type="list" allowBlank="1" showErrorMessage="1" sqref="I10:I52">
      <formula1>"Negative,Positive"</formula1>
    </dataValidation>
    <dataValidation type="list" allowBlank="1" showErrorMessage="1" sqref="J10:J52">
      <formula1>"High,Medium,Low"</formula1>
    </dataValidation>
    <dataValidation type="list" allowBlank="1" showErrorMessage="1" sqref="K10:K52">
      <formula1>"P,F,NE,NA"</formula1>
    </dataValidation>
  </dataValidations>
  <drawing r:id="rId1"/>
</worksheet>
</file>