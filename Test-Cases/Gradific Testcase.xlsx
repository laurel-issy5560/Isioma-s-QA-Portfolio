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<sst xmlns="http://schemas.openxmlformats.org/spreadsheetml/2006/main" count="138" uniqueCount="104">
  <si>
    <t xml:space="preserve">                             Test Cases for Gradific Web Application</t>
  </si>
  <si>
    <t>Tested By:  Isioma Ogbechie</t>
  </si>
  <si>
    <t>TEST STATUS</t>
  </si>
  <si>
    <t>TEST SUMMARY</t>
  </si>
  <si>
    <t>PRIORITY</t>
  </si>
  <si>
    <t>Date: 21/10/2025</t>
  </si>
  <si>
    <t xml:space="preserve">Pass </t>
  </si>
  <si>
    <t>High</t>
  </si>
  <si>
    <t>Project: Gradific Web App</t>
  </si>
  <si>
    <t xml:space="preserve">Fail </t>
  </si>
  <si>
    <t>Medium</t>
  </si>
  <si>
    <t>Test Environment: Staging / Web</t>
  </si>
  <si>
    <t>Not Excuted (NE)</t>
  </si>
  <si>
    <t>Low</t>
  </si>
  <si>
    <t>Not Applicable (NA)</t>
  </si>
  <si>
    <t>TOTAL</t>
  </si>
  <si>
    <t>Testcase ID</t>
  </si>
  <si>
    <t>Module</t>
  </si>
  <si>
    <t>Test Description</t>
  </si>
  <si>
    <t>Precondition</t>
  </si>
  <si>
    <t>Test Steps</t>
  </si>
  <si>
    <t>Expected Result</t>
  </si>
  <si>
    <t>Actual Result</t>
  </si>
  <si>
    <t>Priority</t>
  </si>
  <si>
    <t>Status</t>
  </si>
  <si>
    <t>TC_001</t>
  </si>
  <si>
    <t>User Onboarding</t>
  </si>
  <si>
    <t>Verify that a new user can sign up successfully with valid details</t>
  </si>
  <si>
    <t>User on registration page</t>
  </si>
  <si>
    <t>1. Launch the url
2. Click on Create Account
3. Enter valid credential on the Sign Up page
4. Click on Sign Up button</t>
  </si>
  <si>
    <t>User should be able to Sign up sucessfully with valid credentials</t>
  </si>
  <si>
    <t>User was able to Sign up successfully</t>
  </si>
  <si>
    <t>Pass</t>
  </si>
  <si>
    <t>TC_002</t>
  </si>
  <si>
    <t>Verify that user cannot Sign Up with empty fields</t>
  </si>
  <si>
    <t>1. Launch the url
2. Click on Create Account
3. Leave all fields empty
4. Click on Sign Up button</t>
  </si>
  <si>
    <t>A validation message should be displayed, prompting the user to fill required fields.</t>
  </si>
  <si>
    <t>A validation message was displayed prompting the user to fill all required field</t>
  </si>
  <si>
    <t>TC_003</t>
  </si>
  <si>
    <t>Verify that user cannot Sign Up with invalid email and a valid password</t>
  </si>
  <si>
    <t>1. Launch the url
2. Click on Create Account
3. Enter an invalid email: oganaisioma@gmail.co
4. Enter other fields correctly
5. Click on Sign Up button</t>
  </si>
  <si>
    <t>A validation message should be displayed prompting the user to enter a valid email</t>
  </si>
  <si>
    <t>User was able to Sign Up sucessfully. No validation message was displayed</t>
  </si>
  <si>
    <t>Fail</t>
  </si>
  <si>
    <t>TC_004</t>
  </si>
  <si>
    <t>Verify user cannot Sign up  with mismatched passwords</t>
  </si>
  <si>
    <t>1. Launch the url
2. Click on Create Account
3. Enter a valid email: oganaisioma@gmail.com
4. Enter password :Stepha@ine_5560
5. Enter a different password in the Confirm Password field: ogbechieiss_y78
 6. Click on Sign Up button</t>
  </si>
  <si>
    <t>An error message should be displayed prompting the user to enter matching passwords</t>
  </si>
  <si>
    <t>An error message was displayed showing, "Passwords must match!"</t>
  </si>
  <si>
    <t>TC_005</t>
  </si>
  <si>
    <t>Authentication</t>
  </si>
  <si>
    <t>Verify login with valid credentials</t>
  </si>
  <si>
    <t>- User account exists.
- User is on the Login page.</t>
  </si>
  <si>
    <t>1. Enter valid email and password
2. Click Log in button</t>
  </si>
  <si>
    <t>User should be logged in successfully and redirected to dashboard</t>
  </si>
  <si>
    <t>User was logged in successfully and redirected to dashboard.</t>
  </si>
  <si>
    <t>TC_006</t>
  </si>
  <si>
    <t>Verify login with invalid credentials</t>
  </si>
  <si>
    <t>1. Enter wrong email/password
2. Click Log in</t>
  </si>
  <si>
    <t>An error message should be displayed prompting the user to enter valid credentials</t>
  </si>
  <si>
    <t>An error message was displayed prompting the user to enter valid credentials</t>
  </si>
  <si>
    <t>TC_007</t>
  </si>
  <si>
    <t>Verify login with empty fields</t>
  </si>
  <si>
    <t>1. Leave Email and Password field empty
2. Click Log in</t>
  </si>
  <si>
    <t>An error message should be displayed prompting the user to enter email and password</t>
  </si>
  <si>
    <t>An error message was displayed, showing "Email and Password is required".</t>
  </si>
  <si>
    <t>TC_008</t>
  </si>
  <si>
    <t>Workspace</t>
  </si>
  <si>
    <t>Verify that user can create a workspace</t>
  </si>
  <si>
    <t>User is on the workspace dashboard</t>
  </si>
  <si>
    <t xml:space="preserve">1.  Log in
2. Click on Create a New Workspace
</t>
  </si>
  <si>
    <t>User should be able to create a new workspace</t>
  </si>
  <si>
    <t>User was able to create a new workspace</t>
  </si>
  <si>
    <t>TC_009</t>
  </si>
  <si>
    <t>Verify that user can create more than one workspace</t>
  </si>
  <si>
    <t xml:space="preserve">1.  Log in
2. After creating a new work space,click on Create a New Workspace to create another workspace
</t>
  </si>
  <si>
    <t>User should be able to create more than one workspace</t>
  </si>
  <si>
    <t>User was not able to create another workspace</t>
  </si>
  <si>
    <t>TC_010</t>
  </si>
  <si>
    <t>Assignment Creation</t>
  </si>
  <si>
    <t>Verify that Owner can create an assignment successfully</t>
  </si>
  <si>
    <t>User logged in as Owner and created a workspace</t>
  </si>
  <si>
    <t>1.Navigate to Assignments dashboard
2. Click on Create New
3. Fill all fields
4. Save</t>
  </si>
  <si>
    <t>- Owner should be able to create assignment successfully
- Assignment should be visible on dashboard</t>
  </si>
  <si>
    <t>NE</t>
  </si>
  <si>
    <t>TC_011</t>
  </si>
  <si>
    <t>Verify that assignment cannot be created with missing fields</t>
  </si>
  <si>
    <t>1.Navigate to Assignments dashboard
2. Click on Create New
3. Leave title blank
3. Fill other fields
4. Save</t>
  </si>
  <si>
    <t>An error message should be displayed, showing “Title is required” displayed"</t>
  </si>
  <si>
    <t>TC_012</t>
  </si>
  <si>
    <t>Assignment Submission</t>
  </si>
  <si>
    <t>Verify member can submit assignment before deadline</t>
  </si>
  <si>
    <t>Member assigned task</t>
  </si>
  <si>
    <t xml:space="preserve">1.Navigate to Assignments dashboard
2. Click on Create New
3.Fill other fields
4. Set deadline date using date picker
5. Save
</t>
  </si>
  <si>
    <t>“Submission successful” message should be displayed</t>
  </si>
  <si>
    <t>TC_013</t>
  </si>
  <si>
    <t>Verify system rejects submission after deadline</t>
  </si>
  <si>
    <t>Deadline passed</t>
  </si>
  <si>
    <t>1. Atrtempt submitting task</t>
  </si>
  <si>
    <t>Error “Deadline has passed” should be displayed</t>
  </si>
  <si>
    <t>TC_014</t>
  </si>
  <si>
    <t>Verify system prevents empty submission</t>
  </si>
  <si>
    <t>1. Click Submit without attaching file</t>
  </si>
  <si>
    <t xml:space="preserve">A validation message should be displayed, showing: “File required”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</si>
</sst>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color theme="1"/>
      <name val="Arial"/>
      <scheme val="minor"/>
    </font>
    <font>
      <b/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horizontal="left" readingOrder="0" vertical="bottom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bottom"/>
    </xf>
    <xf borderId="3" fillId="0" fontId="4" numFmtId="0" xfId="0" applyBorder="1" applyFont="1"/>
    <xf borderId="1" fillId="2" fontId="5" numFmtId="0" xfId="0" applyAlignment="1" applyBorder="1" applyFill="1" applyFont="1">
      <alignment readingOrder="0" vertical="bottom"/>
    </xf>
    <xf borderId="1" fillId="0" fontId="3" numFmtId="0" xfId="0" applyAlignment="1" applyBorder="1" applyFont="1">
      <alignment horizontal="right" vertical="bottom"/>
    </xf>
    <xf borderId="1" fillId="3" fontId="5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readingOrder="0" vertical="bottom"/>
    </xf>
    <xf borderId="1" fillId="0" fontId="6" numFmtId="0" xfId="0" applyAlignment="1" applyBorder="1" applyFont="1">
      <alignment horizontal="left" readingOrder="0"/>
    </xf>
    <xf borderId="1" fillId="5" fontId="5" numFmtId="0" xfId="0" applyAlignment="1" applyBorder="1" applyFill="1" applyFont="1">
      <alignment vertical="bottom"/>
    </xf>
    <xf borderId="1" fillId="0" fontId="5" numFmtId="0" xfId="0" applyAlignment="1" applyBorder="1" applyFont="1">
      <alignment vertical="bottom"/>
    </xf>
    <xf borderId="1" fillId="6" fontId="5" numFmtId="0" xfId="0" applyAlignment="1" applyBorder="1" applyFill="1" applyFont="1">
      <alignment vertical="bottom"/>
    </xf>
    <xf borderId="1" fillId="7" fontId="7" numFmtId="0" xfId="0" applyAlignment="1" applyBorder="1" applyFill="1" applyFont="1">
      <alignment horizontal="left" readingOrder="0"/>
    </xf>
    <xf borderId="4" fillId="0" fontId="6" numFmtId="0" xfId="0" applyAlignment="1" applyBorder="1" applyFont="1">
      <alignment horizontal="left" readingOrder="0" textRotation="45" vertical="center"/>
    </xf>
    <xf borderId="1" fillId="0" fontId="2" numFmtId="0" xfId="0" applyAlignment="1" applyBorder="1" applyFont="1">
      <alignment horizontal="left" readingOrder="0" shrinkToFit="0" wrapText="1"/>
    </xf>
    <xf borderId="5" fillId="0" fontId="4" numFmtId="0" xfId="0" applyBorder="1" applyFont="1"/>
    <xf borderId="6" fillId="0" fontId="4" numFmtId="0" xfId="0" applyBorder="1" applyFont="1"/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0000FF"/>
          <bgColor rgb="FF0000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7.13"/>
    <col customWidth="1" min="3" max="3" width="17.88"/>
    <col customWidth="1" min="4" max="4" width="16.25"/>
    <col customWidth="1" min="5" max="5" width="23.38"/>
    <col customWidth="1" min="6" max="6" width="15.13"/>
    <col customWidth="1" min="7" max="7" width="14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/>
      <c r="C2" s="2"/>
      <c r="D2" s="6" t="s">
        <v>2</v>
      </c>
      <c r="E2" s="6" t="s">
        <v>3</v>
      </c>
      <c r="F2" s="2"/>
      <c r="G2" s="7" t="s">
        <v>4</v>
      </c>
      <c r="H2" s="8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</v>
      </c>
      <c r="B3" s="2"/>
      <c r="C3" s="2"/>
      <c r="D3" s="9" t="s">
        <v>6</v>
      </c>
      <c r="E3" s="10">
        <f>COUNTIF(I10:I24, "Pass")</f>
        <v>7</v>
      </c>
      <c r="F3" s="2"/>
      <c r="G3" s="11" t="s">
        <v>7</v>
      </c>
      <c r="H3" s="10">
        <f>COUNTIF(H10:H24, "High")</f>
        <v>13</v>
      </c>
      <c r="I3" s="2"/>
      <c r="J3" s="2"/>
      <c r="K3" s="2"/>
      <c r="L3" s="2"/>
      <c r="M3" s="2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</v>
      </c>
      <c r="B4" s="2"/>
      <c r="C4" s="2"/>
      <c r="D4" s="12" t="s">
        <v>9</v>
      </c>
      <c r="E4" s="10">
        <f>COUNTIF(I10:I24, "Fail")</f>
        <v>2</v>
      </c>
      <c r="F4" s="2"/>
      <c r="G4" s="11" t="s">
        <v>10</v>
      </c>
      <c r="H4" s="10">
        <f>COUNTIF(H10:H24, "Medium")</f>
        <v>1</v>
      </c>
      <c r="I4" s="2"/>
      <c r="J4" s="2"/>
      <c r="K4" s="2"/>
      <c r="L4" s="2"/>
      <c r="M4" s="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 t="s">
        <v>11</v>
      </c>
      <c r="B5" s="2"/>
      <c r="C5" s="2"/>
      <c r="D5" s="14" t="s">
        <v>12</v>
      </c>
      <c r="E5" s="10">
        <f>COUNTIF(I10:I24, "NE")</f>
        <v>5</v>
      </c>
      <c r="F5" s="2"/>
      <c r="G5" s="15" t="s">
        <v>13</v>
      </c>
      <c r="H5" s="10">
        <f>COUNTIF(H10:H24, "Low")</f>
        <v>0</v>
      </c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/>
      <c r="B6" s="2"/>
      <c r="C6" s="2"/>
      <c r="D6" s="16" t="s">
        <v>14</v>
      </c>
      <c r="E6" s="10">
        <f>COUNTIF(I10:I24, "NA")</f>
        <v>0</v>
      </c>
      <c r="F6" s="2"/>
      <c r="G6" s="6" t="s">
        <v>15</v>
      </c>
      <c r="H6" s="10">
        <f>SUM(H3:H5)</f>
        <v>14</v>
      </c>
      <c r="I6" s="2"/>
      <c r="J6" s="2"/>
      <c r="K6" s="2"/>
      <c r="L6" s="2"/>
      <c r="M6" s="2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/>
      <c r="B7" s="2"/>
      <c r="C7" s="2"/>
      <c r="D7" s="6" t="s">
        <v>15</v>
      </c>
      <c r="E7" s="10">
        <f>SUM(E3:E6)</f>
        <v>14</v>
      </c>
      <c r="F7" s="2"/>
      <c r="G7" s="2"/>
      <c r="H7" s="2"/>
      <c r="I7" s="2"/>
      <c r="J7" s="2"/>
      <c r="K7" s="2"/>
      <c r="L7" s="2"/>
      <c r="M7" s="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7" t="s">
        <v>16</v>
      </c>
      <c r="B10" s="17" t="s">
        <v>17</v>
      </c>
      <c r="C10" s="17" t="s">
        <v>18</v>
      </c>
      <c r="D10" s="17" t="s">
        <v>19</v>
      </c>
      <c r="E10" s="17" t="s">
        <v>20</v>
      </c>
      <c r="F10" s="17" t="s">
        <v>21</v>
      </c>
      <c r="G10" s="17" t="s">
        <v>22</v>
      </c>
      <c r="H10" s="17" t="s">
        <v>23</v>
      </c>
      <c r="I10" s="17" t="s">
        <v>24</v>
      </c>
      <c r="J10" s="2"/>
      <c r="K10" s="2"/>
      <c r="L10" s="2"/>
      <c r="M10" s="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25</v>
      </c>
      <c r="B11" s="18" t="s">
        <v>26</v>
      </c>
      <c r="C11" s="19" t="s">
        <v>27</v>
      </c>
      <c r="D11" s="19" t="s">
        <v>28</v>
      </c>
      <c r="E11" s="19" t="s">
        <v>29</v>
      </c>
      <c r="F11" s="19" t="s">
        <v>30</v>
      </c>
      <c r="G11" s="19" t="s">
        <v>31</v>
      </c>
      <c r="H11" s="5" t="s">
        <v>7</v>
      </c>
      <c r="I11" s="5" t="s">
        <v>32</v>
      </c>
      <c r="J11" s="2"/>
      <c r="K11" s="2"/>
      <c r="L11" s="2"/>
      <c r="M11" s="2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33</v>
      </c>
      <c r="B12" s="20"/>
      <c r="C12" s="19" t="s">
        <v>34</v>
      </c>
      <c r="D12" s="19" t="s">
        <v>28</v>
      </c>
      <c r="E12" s="19" t="s">
        <v>35</v>
      </c>
      <c r="F12" s="19" t="s">
        <v>36</v>
      </c>
      <c r="G12" s="19" t="s">
        <v>37</v>
      </c>
      <c r="H12" s="5" t="s">
        <v>7</v>
      </c>
      <c r="I12" s="5" t="s">
        <v>32</v>
      </c>
      <c r="J12" s="2"/>
      <c r="K12" s="2"/>
      <c r="L12" s="2"/>
      <c r="M12" s="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38</v>
      </c>
      <c r="B13" s="20"/>
      <c r="C13" s="19" t="s">
        <v>39</v>
      </c>
      <c r="D13" s="19" t="s">
        <v>28</v>
      </c>
      <c r="E13" s="19" t="s">
        <v>40</v>
      </c>
      <c r="F13" s="19" t="s">
        <v>41</v>
      </c>
      <c r="G13" s="19" t="s">
        <v>42</v>
      </c>
      <c r="H13" s="5" t="s">
        <v>7</v>
      </c>
      <c r="I13" s="5" t="s">
        <v>43</v>
      </c>
      <c r="J13" s="2"/>
      <c r="K13" s="2"/>
      <c r="L13" s="2"/>
      <c r="M13" s="2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44</v>
      </c>
      <c r="B14" s="21"/>
      <c r="C14" s="19" t="s">
        <v>45</v>
      </c>
      <c r="D14" s="19" t="s">
        <v>28</v>
      </c>
      <c r="E14" s="19" t="s">
        <v>46</v>
      </c>
      <c r="F14" s="19" t="s">
        <v>47</v>
      </c>
      <c r="G14" s="19" t="s">
        <v>48</v>
      </c>
      <c r="H14" s="5" t="s">
        <v>7</v>
      </c>
      <c r="I14" s="5" t="s">
        <v>32</v>
      </c>
      <c r="J14" s="2"/>
      <c r="K14" s="2"/>
      <c r="L14" s="2"/>
      <c r="M14" s="2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49</v>
      </c>
      <c r="B15" s="18" t="s">
        <v>50</v>
      </c>
      <c r="C15" s="19" t="s">
        <v>51</v>
      </c>
      <c r="D15" s="19" t="s">
        <v>52</v>
      </c>
      <c r="E15" s="19" t="s">
        <v>53</v>
      </c>
      <c r="F15" s="19" t="s">
        <v>54</v>
      </c>
      <c r="G15" s="19" t="s">
        <v>55</v>
      </c>
      <c r="H15" s="5" t="s">
        <v>7</v>
      </c>
      <c r="I15" s="5" t="s">
        <v>32</v>
      </c>
      <c r="J15" s="2"/>
      <c r="K15" s="2"/>
      <c r="L15" s="2"/>
      <c r="M15" s="2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56</v>
      </c>
      <c r="B16" s="20"/>
      <c r="C16" s="19" t="s">
        <v>57</v>
      </c>
      <c r="D16" s="19" t="s">
        <v>52</v>
      </c>
      <c r="E16" s="5" t="s">
        <v>58</v>
      </c>
      <c r="F16" s="19" t="s">
        <v>59</v>
      </c>
      <c r="G16" s="19" t="s">
        <v>60</v>
      </c>
      <c r="H16" s="5" t="s">
        <v>7</v>
      </c>
      <c r="I16" s="5" t="s">
        <v>32</v>
      </c>
      <c r="J16" s="2"/>
      <c r="K16" s="2"/>
      <c r="L16" s="2"/>
      <c r="M16" s="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61</v>
      </c>
      <c r="B17" s="21"/>
      <c r="C17" s="19" t="s">
        <v>62</v>
      </c>
      <c r="D17" s="19" t="s">
        <v>52</v>
      </c>
      <c r="E17" s="19" t="s">
        <v>63</v>
      </c>
      <c r="F17" s="19" t="s">
        <v>64</v>
      </c>
      <c r="G17" s="19" t="s">
        <v>65</v>
      </c>
      <c r="H17" s="5" t="s">
        <v>7</v>
      </c>
      <c r="I17" s="5" t="s">
        <v>32</v>
      </c>
      <c r="J17" s="2"/>
      <c r="K17" s="2"/>
      <c r="L17" s="2"/>
      <c r="M17" s="2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2" t="s">
        <v>66</v>
      </c>
      <c r="B18" s="18" t="s">
        <v>67</v>
      </c>
      <c r="C18" s="19" t="s">
        <v>68</v>
      </c>
      <c r="D18" s="19" t="s">
        <v>69</v>
      </c>
      <c r="E18" s="19" t="s">
        <v>70</v>
      </c>
      <c r="F18" s="19" t="s">
        <v>71</v>
      </c>
      <c r="G18" s="19" t="s">
        <v>72</v>
      </c>
      <c r="H18" s="5" t="s">
        <v>7</v>
      </c>
      <c r="I18" s="5" t="s">
        <v>32</v>
      </c>
      <c r="J18" s="2"/>
      <c r="K18" s="2"/>
      <c r="L18" s="2"/>
      <c r="M18" s="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2" t="s">
        <v>73</v>
      </c>
      <c r="B19" s="21"/>
      <c r="C19" s="19" t="s">
        <v>74</v>
      </c>
      <c r="D19" s="19" t="s">
        <v>69</v>
      </c>
      <c r="E19" s="19" t="s">
        <v>75</v>
      </c>
      <c r="F19" s="19" t="s">
        <v>76</v>
      </c>
      <c r="G19" s="19" t="s">
        <v>77</v>
      </c>
      <c r="H19" s="5" t="s">
        <v>10</v>
      </c>
      <c r="I19" s="5" t="s">
        <v>43</v>
      </c>
      <c r="J19" s="2"/>
      <c r="K19" s="2"/>
      <c r="L19" s="2"/>
      <c r="M19" s="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2" t="s">
        <v>78</v>
      </c>
      <c r="B20" s="18" t="s">
        <v>79</v>
      </c>
      <c r="C20" s="19" t="s">
        <v>80</v>
      </c>
      <c r="D20" s="19" t="s">
        <v>81</v>
      </c>
      <c r="E20" s="19" t="s">
        <v>82</v>
      </c>
      <c r="F20" s="19" t="s">
        <v>83</v>
      </c>
      <c r="G20" s="2"/>
      <c r="H20" s="5" t="s">
        <v>7</v>
      </c>
      <c r="I20" s="5" t="s">
        <v>84</v>
      </c>
      <c r="J20" s="2"/>
      <c r="K20" s="2"/>
      <c r="L20" s="2"/>
      <c r="M20" s="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22" t="s">
        <v>85</v>
      </c>
      <c r="B21" s="21"/>
      <c r="C21" s="19" t="s">
        <v>86</v>
      </c>
      <c r="D21" s="19" t="s">
        <v>81</v>
      </c>
      <c r="E21" s="19" t="s">
        <v>87</v>
      </c>
      <c r="F21" s="19" t="s">
        <v>88</v>
      </c>
      <c r="G21" s="2"/>
      <c r="H21" s="5" t="s">
        <v>7</v>
      </c>
      <c r="I21" s="5" t="s">
        <v>84</v>
      </c>
      <c r="J21" s="2"/>
      <c r="K21" s="2"/>
      <c r="L21" s="2"/>
      <c r="M21" s="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2" t="s">
        <v>89</v>
      </c>
      <c r="B22" s="18" t="s">
        <v>90</v>
      </c>
      <c r="C22" s="19" t="s">
        <v>91</v>
      </c>
      <c r="D22" s="19" t="s">
        <v>92</v>
      </c>
      <c r="E22" s="19" t="s">
        <v>93</v>
      </c>
      <c r="F22" s="19" t="s">
        <v>94</v>
      </c>
      <c r="G22" s="2"/>
      <c r="H22" s="5" t="s">
        <v>7</v>
      </c>
      <c r="I22" s="5" t="s">
        <v>84</v>
      </c>
      <c r="J22" s="2"/>
      <c r="K22" s="2"/>
      <c r="L22" s="2"/>
      <c r="M22" s="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23" t="s">
        <v>95</v>
      </c>
      <c r="B23" s="20"/>
      <c r="C23" s="19" t="s">
        <v>96</v>
      </c>
      <c r="D23" s="19" t="s">
        <v>97</v>
      </c>
      <c r="E23" s="5" t="s">
        <v>98</v>
      </c>
      <c r="F23" s="19" t="s">
        <v>99</v>
      </c>
      <c r="G23" s="2"/>
      <c r="H23" s="5" t="s">
        <v>7</v>
      </c>
      <c r="I23" s="5" t="s">
        <v>84</v>
      </c>
      <c r="J23" s="2"/>
      <c r="K23" s="2"/>
      <c r="L23" s="2"/>
      <c r="M23" s="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23" t="s">
        <v>100</v>
      </c>
      <c r="B24" s="21"/>
      <c r="C24" s="19" t="s">
        <v>101</v>
      </c>
      <c r="D24" s="19" t="s">
        <v>92</v>
      </c>
      <c r="E24" s="19" t="s">
        <v>102</v>
      </c>
      <c r="F24" s="19" t="s">
        <v>103</v>
      </c>
      <c r="G24" s="2"/>
      <c r="H24" s="5" t="s">
        <v>7</v>
      </c>
      <c r="I24" s="5" t="s">
        <v>84</v>
      </c>
      <c r="J24" s="2"/>
      <c r="K24" s="2"/>
      <c r="L24" s="2"/>
      <c r="M24" s="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6">
    <mergeCell ref="G2:H2"/>
    <mergeCell ref="B11:B14"/>
    <mergeCell ref="B15:B17"/>
    <mergeCell ref="B18:B19"/>
    <mergeCell ref="B20:B21"/>
    <mergeCell ref="B22:B24"/>
  </mergeCells>
  <conditionalFormatting sqref="I11:I30">
    <cfRule type="cellIs" dxfId="0" priority="1" operator="equal">
      <formula>"Pass"</formula>
    </cfRule>
  </conditionalFormatting>
  <conditionalFormatting sqref="I11:I30">
    <cfRule type="cellIs" dxfId="1" priority="2" operator="equal">
      <formula>"Fail"</formula>
    </cfRule>
  </conditionalFormatting>
  <conditionalFormatting sqref="I11:I30">
    <cfRule type="cellIs" dxfId="2" priority="3" operator="equal">
      <formula>"NE"</formula>
    </cfRule>
  </conditionalFormatting>
  <conditionalFormatting sqref="I11:I30">
    <cfRule type="cellIs" dxfId="3" priority="4" operator="equal">
      <formula>"NA"</formula>
    </cfRule>
  </conditionalFormatting>
  <dataValidations>
    <dataValidation type="list" allowBlank="1" showErrorMessage="1" sqref="H11:H30">
      <formula1>"High,Medium,Low"</formula1>
    </dataValidation>
    <dataValidation type="list" allowBlank="1" showErrorMessage="1" sqref="I11:I30">
      <formula1>"Pass,Fail,NE,NA"</formula1>
    </dataValidation>
  </dataValidations>
  <drawing r:id="rId1"/>
</worksheet>
</file>